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tagens" sheetId="1" state="visible" r:id="rId3"/>
    <sheet name="jaguaribe_80ml" sheetId="2" state="visible" r:id="rId4"/>
    <sheet name="densidade_hab_indL" sheetId="3" state="visible" r:id="rId5"/>
    <sheet name="densidade_ponto_indL" sheetId="4" state="visible" r:id="rId6"/>
    <sheet name="codes" sheetId="5" state="visible" r:id="rId7"/>
    <sheet name="Espéci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<sst xmlns="http://schemas.openxmlformats.org/spreadsheetml/2006/main" count="3394" uniqueCount="415">
  <si>
    <t xml:space="preserve">TAG</t>
  </si>
  <si>
    <t xml:space="preserve">Periodo</t>
  </si>
  <si>
    <t xml:space="preserve">Transposição</t>
  </si>
  <si>
    <t xml:space="preserve">Coleta</t>
  </si>
  <si>
    <t xml:space="preserve">Data</t>
  </si>
  <si>
    <t xml:space="preserve">Rio</t>
  </si>
  <si>
    <t xml:space="preserve">Habitat=Pote</t>
  </si>
  <si>
    <t xml:space="preserve">PONTO1</t>
  </si>
  <si>
    <t xml:space="preserve">S-PR-A-P1-C1-H1</t>
  </si>
  <si>
    <t xml:space="preserve">seco</t>
  </si>
  <si>
    <t xml:space="preserve">pre</t>
  </si>
  <si>
    <t xml:space="preserve">Jaguaribe</t>
  </si>
  <si>
    <t xml:space="preserve">S-PR-A-P1-C1-H2</t>
  </si>
  <si>
    <t xml:space="preserve">S-PR-A-P1-C1-H3</t>
  </si>
  <si>
    <t xml:space="preserve">PONTO2</t>
  </si>
  <si>
    <t xml:space="preserve">S-PR-A-P2-C1-H1</t>
  </si>
  <si>
    <t xml:space="preserve">S-PR-A-P2-C1-H2</t>
  </si>
  <si>
    <t xml:space="preserve">S-PR-A-P2-C1-H3</t>
  </si>
  <si>
    <t xml:space="preserve">PONTO3</t>
  </si>
  <si>
    <t xml:space="preserve">S-PR-A-P3-C1-H1</t>
  </si>
  <si>
    <t xml:space="preserve">S-PR-A-P3-C1-H2</t>
  </si>
  <si>
    <t xml:space="preserve">S-PR-A-P3-C1-H3</t>
  </si>
  <si>
    <t xml:space="preserve">PONTO4</t>
  </si>
  <si>
    <t xml:space="preserve">S-PR-M-P4-C1-H1</t>
  </si>
  <si>
    <t xml:space="preserve">S-PR-M-P4-C1-H2</t>
  </si>
  <si>
    <t xml:space="preserve">S-PR-M-P4-C1-H3</t>
  </si>
  <si>
    <t xml:space="preserve">PONTO5</t>
  </si>
  <si>
    <t xml:space="preserve">S-PR-M-P5-C1-H1</t>
  </si>
  <si>
    <t xml:space="preserve">S-PR-M-P5-C1-H2</t>
  </si>
  <si>
    <t xml:space="preserve">S-PR-M-P5-C1-H3</t>
  </si>
  <si>
    <t xml:space="preserve">PONTO6</t>
  </si>
  <si>
    <t xml:space="preserve">S-PR-M-P6-C1-H1</t>
  </si>
  <si>
    <t xml:space="preserve">S-PR-M-P6-C1-H2</t>
  </si>
  <si>
    <t xml:space="preserve">S-PR-M-P6-C1-H3</t>
  </si>
  <si>
    <t xml:space="preserve">PONTO7</t>
  </si>
  <si>
    <t xml:space="preserve">S-PR-B-P7-C1-H1</t>
  </si>
  <si>
    <t xml:space="preserve">S-PR-B-P7-C1-H2</t>
  </si>
  <si>
    <t xml:space="preserve">S-PR-B-P7-C1-H3</t>
  </si>
  <si>
    <t xml:space="preserve">PONTO8</t>
  </si>
  <si>
    <t xml:space="preserve">S-PR-B-P8-C1-H1</t>
  </si>
  <si>
    <t xml:space="preserve">S-PR-B-P8-C1-H2</t>
  </si>
  <si>
    <t xml:space="preserve">S-PR-B-P8-C1-H3</t>
  </si>
  <si>
    <t xml:space="preserve">PONTO9</t>
  </si>
  <si>
    <t xml:space="preserve">S-PR-B-P9-C1-H1</t>
  </si>
  <si>
    <t xml:space="preserve">S-PR-B-P9-C1-H2</t>
  </si>
  <si>
    <t xml:space="preserve">S-PR-B-P9-C1-H3</t>
  </si>
  <si>
    <t xml:space="preserve">C-PR-A-P1-C2-H1</t>
  </si>
  <si>
    <t xml:space="preserve">chuvoso</t>
  </si>
  <si>
    <t xml:space="preserve">C-PR-A-P1-C2-H2</t>
  </si>
  <si>
    <t xml:space="preserve">C-PR-A-P1-C2-H3</t>
  </si>
  <si>
    <t xml:space="preserve">C-PR-A-P2-C2-H1</t>
  </si>
  <si>
    <t xml:space="preserve">C-PR-A-P2-C2-H2</t>
  </si>
  <si>
    <t xml:space="preserve">C-PR-A-P2-C2-H3</t>
  </si>
  <si>
    <t xml:space="preserve">C-PR-A-P3-C2-H1</t>
  </si>
  <si>
    <t xml:space="preserve">C-PR-A-P3-C2-H2</t>
  </si>
  <si>
    <t xml:space="preserve">C-PR-A-P3-C2-H3</t>
  </si>
  <si>
    <t xml:space="preserve">C-PR-M-P4-C2-H1</t>
  </si>
  <si>
    <t xml:space="preserve">C-PR-M-P4-C2-H2</t>
  </si>
  <si>
    <t xml:space="preserve">C-PR-M-P4-C2-H3</t>
  </si>
  <si>
    <t xml:space="preserve">C-PR-M-P5-C2-H1</t>
  </si>
  <si>
    <t xml:space="preserve">C-PR-M-P5-C2-H2</t>
  </si>
  <si>
    <t xml:space="preserve">C-PR-M-P5-C2-H3</t>
  </si>
  <si>
    <t xml:space="preserve">C-PR-M-P6-C2-H1</t>
  </si>
  <si>
    <t xml:space="preserve">C-PR-M-P6-C2-H2</t>
  </si>
  <si>
    <t xml:space="preserve">C-PR-M-P6-C2-H3</t>
  </si>
  <si>
    <t xml:space="preserve">C-PR-B-P7-C2-H1</t>
  </si>
  <si>
    <t xml:space="preserve">C-PR-B-P7-C2-H2</t>
  </si>
  <si>
    <t xml:space="preserve">C-PR-B-P7-C2-H3</t>
  </si>
  <si>
    <t xml:space="preserve">C-PR-B-P8-C2-H1</t>
  </si>
  <si>
    <t xml:space="preserve">C-PR-B-P8-C2-H2</t>
  </si>
  <si>
    <t xml:space="preserve">C-PR-B-P8-C2-H3</t>
  </si>
  <si>
    <t xml:space="preserve">C-PR-B-P9-C2-H1</t>
  </si>
  <si>
    <t xml:space="preserve">C-PR-B-P9-C2-H2</t>
  </si>
  <si>
    <t xml:space="preserve">C-PR-B-P9-C2-H3</t>
  </si>
  <si>
    <t xml:space="preserve">S-PS-A-P1-C3-H1</t>
  </si>
  <si>
    <t xml:space="preserve">pos</t>
  </si>
  <si>
    <t xml:space="preserve">S-PS-A-P1-C3-H2</t>
  </si>
  <si>
    <t xml:space="preserve">S-PS-A-P1-C3-H3</t>
  </si>
  <si>
    <t xml:space="preserve">S-PS-A-P2-C3-H1</t>
  </si>
  <si>
    <t xml:space="preserve">S-PS-A-P2-C3-H2</t>
  </si>
  <si>
    <t xml:space="preserve">S-PS-A-P2-C3-H3</t>
  </si>
  <si>
    <t xml:space="preserve">S-PS-A-P3-C3-H1</t>
  </si>
  <si>
    <t xml:space="preserve">S-PS-A-P3-C3-H2</t>
  </si>
  <si>
    <t xml:space="preserve">S-PS-A-P3-C3-H3</t>
  </si>
  <si>
    <t xml:space="preserve">S-PS-M-P4-C3-H1</t>
  </si>
  <si>
    <t xml:space="preserve">S-PS-M-P4-C3-H2</t>
  </si>
  <si>
    <t xml:space="preserve">S-PS-M-P4-C3-H3</t>
  </si>
  <si>
    <t xml:space="preserve">S-PS-M-P5-C3-H1</t>
  </si>
  <si>
    <t xml:space="preserve">S-PS-M-P5-C3-H2</t>
  </si>
  <si>
    <t xml:space="preserve">S-PS-M-P5-C3-H3</t>
  </si>
  <si>
    <t xml:space="preserve">S-PS-M-P6-C3-H1</t>
  </si>
  <si>
    <t xml:space="preserve">S-PS-M-P6-C3-H2</t>
  </si>
  <si>
    <t xml:space="preserve">S-PS-M-P6-C3-H3</t>
  </si>
  <si>
    <t xml:space="preserve">S-PS-B-P7-C3-H1</t>
  </si>
  <si>
    <t xml:space="preserve">S-PS-B-P7-C3-H2</t>
  </si>
  <si>
    <t xml:space="preserve">S-PS-B-P7-C3-H3</t>
  </si>
  <si>
    <t xml:space="preserve">S-PS-B-P8-C3-H1</t>
  </si>
  <si>
    <t xml:space="preserve">S-PS-B-P8-C3-H2</t>
  </si>
  <si>
    <t xml:space="preserve">S-PS-B-P8-C3-H3</t>
  </si>
  <si>
    <t xml:space="preserve">S-PS-B-P9-C3-H1</t>
  </si>
  <si>
    <t xml:space="preserve">S-PS-B-P9-C3-H2</t>
  </si>
  <si>
    <t xml:space="preserve">S-PS-B-P9-C3-H3</t>
  </si>
  <si>
    <t xml:space="preserve">C-PS-A-P1-C4-H1</t>
  </si>
  <si>
    <t xml:space="preserve">C-PS-A-P1-C4-H2</t>
  </si>
  <si>
    <t xml:space="preserve">C-PS-A-P1-C4-H3</t>
  </si>
  <si>
    <t xml:space="preserve">C-PS-A-P2-C4-H1</t>
  </si>
  <si>
    <t xml:space="preserve">C-PS-A-P2-C4-H2</t>
  </si>
  <si>
    <t xml:space="preserve">C-PS-A-P2-C4-H3</t>
  </si>
  <si>
    <t xml:space="preserve">C-PS-A-P3-C4-H1</t>
  </si>
  <si>
    <t xml:space="preserve">C-PS-A-P3-C4-H2</t>
  </si>
  <si>
    <t xml:space="preserve">C-PS-A-P3-C4-H3</t>
  </si>
  <si>
    <t xml:space="preserve">C-PS-M-P4-C4-H1</t>
  </si>
  <si>
    <t xml:space="preserve">C-PS-M-P4-C4-H2</t>
  </si>
  <si>
    <t xml:space="preserve">C-PS-M-P4-C4-H3</t>
  </si>
  <si>
    <t xml:space="preserve">C-PS-M-P5-C4-H1</t>
  </si>
  <si>
    <t xml:space="preserve">C-PS-M-P5-C4-H2</t>
  </si>
  <si>
    <t xml:space="preserve">C-PS-M-P5-C4-H3</t>
  </si>
  <si>
    <t xml:space="preserve">C-PS-M-P6-C4-H1</t>
  </si>
  <si>
    <t xml:space="preserve">C-PS-M-P6-C4-H2</t>
  </si>
  <si>
    <t xml:space="preserve">C-PS-M-P6-C4-H3</t>
  </si>
  <si>
    <t xml:space="preserve">C-PS-B-P7-C4-H1</t>
  </si>
  <si>
    <t xml:space="preserve">C-PS-B-P7-C4-H2</t>
  </si>
  <si>
    <t xml:space="preserve">C-PS-B-P7-C4-H3</t>
  </si>
  <si>
    <t xml:space="preserve">C-PS-B-P8-C4-H1</t>
  </si>
  <si>
    <t xml:space="preserve">C-PS-B-P8-C4-H2</t>
  </si>
  <si>
    <t xml:space="preserve">C-PS-B-P8-C4-H3</t>
  </si>
  <si>
    <t xml:space="preserve">C-PS-B-P9-C4-H1</t>
  </si>
  <si>
    <t xml:space="preserve">C-PS-B-P9-C4-H2</t>
  </si>
  <si>
    <t xml:space="preserve">C-PS-B-P9-C4-H3</t>
  </si>
  <si>
    <t xml:space="preserve">S-PS-A-P1-C1-H1</t>
  </si>
  <si>
    <t xml:space="preserve">S-PS-A-P1-C1-H2</t>
  </si>
  <si>
    <t xml:space="preserve">S-PS-A-P1-C1-H3</t>
  </si>
  <si>
    <t xml:space="preserve">S-PS-A-P2-C1-H1</t>
  </si>
  <si>
    <t xml:space="preserve">S-PS-A-P2-C1-H2</t>
  </si>
  <si>
    <t xml:space="preserve">S-PS-A-P2-C1-H3</t>
  </si>
  <si>
    <t xml:space="preserve">S-PS-A-P3-C1-H1</t>
  </si>
  <si>
    <t xml:space="preserve">S-PS-A-P3-C1-H2</t>
  </si>
  <si>
    <t xml:space="preserve">S-PS-A-P3-C1-H3</t>
  </si>
  <si>
    <t xml:space="preserve">S-PS-M-P4-C1-H1</t>
  </si>
  <si>
    <t xml:space="preserve">S-PS-M-P4-C1-H2</t>
  </si>
  <si>
    <t xml:space="preserve">S-PS-M-P4-C1-H3</t>
  </si>
  <si>
    <t xml:space="preserve">S-PS-M-P5-C1-H1</t>
  </si>
  <si>
    <t xml:space="preserve">S-PS-M-P5-C1-H2</t>
  </si>
  <si>
    <t xml:space="preserve">S-PS-M-P5-C1-H3</t>
  </si>
  <si>
    <t xml:space="preserve">S-PS-M-P6-C1-H1</t>
  </si>
  <si>
    <t xml:space="preserve">S-PS-M-P6-C1-H2</t>
  </si>
  <si>
    <t xml:space="preserve">S-PS-M-P6-C1-H3</t>
  </si>
  <si>
    <t xml:space="preserve">S-PS-B-P7-C1-H1</t>
  </si>
  <si>
    <t xml:space="preserve">S-PS-B-P7-C1-H2</t>
  </si>
  <si>
    <t xml:space="preserve">S-PS-B-P7-C1-H3</t>
  </si>
  <si>
    <t xml:space="preserve">S-PS-B-P8-C1-H1</t>
  </si>
  <si>
    <t xml:space="preserve">S-PS-B-P8-C1-H2</t>
  </si>
  <si>
    <t xml:space="preserve">S-PS-B-P8-C1-H3</t>
  </si>
  <si>
    <t xml:space="preserve">S-PS-B-P9-C1-H1</t>
  </si>
  <si>
    <t xml:space="preserve">S-PS-B-P9-C1-H2</t>
  </si>
  <si>
    <t xml:space="preserve">S-PS-B-P9-C1-H3</t>
  </si>
  <si>
    <t xml:space="preserve">Alona isabellae Sousa, Elmoor-Loureiro &amp; Santos 2016</t>
  </si>
  <si>
    <t xml:space="preserve">Biapertura ossiani (Sinev, 1998) Sinev, 2020</t>
  </si>
  <si>
    <t xml:space="preserve">Bdelloidea</t>
  </si>
  <si>
    <t xml:space="preserve">Brachionus angularis Gosse, 1851</t>
  </si>
  <si>
    <t xml:space="preserve">Brachionus calyciflorus Pallas, 1766</t>
  </si>
  <si>
    <t xml:space="preserve">Brachionus caudatus Barrois &amp; Daday, 1894</t>
  </si>
  <si>
    <t xml:space="preserve">Brachionus falcatus Zacharias, 1898</t>
  </si>
  <si>
    <t xml:space="preserve">Brachionus havanaensis Rousselet, 1911 </t>
  </si>
  <si>
    <t xml:space="preserve">Brachionus quadridentatus Hermann, 1783</t>
  </si>
  <si>
    <t xml:space="preserve">Cephalodella sp.</t>
  </si>
  <si>
    <t xml:space="preserve">Ceriodaphinia sp.</t>
  </si>
  <si>
    <t xml:space="preserve">Copepodite</t>
  </si>
  <si>
    <t xml:space="preserve">Coronatella serratalhadensis Sousa, Elmoor-Loureiro &amp; Santos, 2015</t>
  </si>
  <si>
    <t xml:space="preserve">Diaphanosoma birgei Korínek, 1981</t>
  </si>
  <si>
    <t xml:space="preserve">Dicranophorus sp.</t>
  </si>
  <si>
    <t xml:space="preserve">Ephemeroporus barroisi (Richard, 1894)</t>
  </si>
  <si>
    <t xml:space="preserve">Ephemeroporus hybridus (Daday, 1905)</t>
  </si>
  <si>
    <t xml:space="preserve">Ephemeroporus tridentatus (Bergamin, 1939)</t>
  </si>
  <si>
    <t xml:space="preserve">Epiphanes macroura (Barrois &amp; Daday, 1894)</t>
  </si>
  <si>
    <t xml:space="preserve">Filinia longiseta (Ehrenberg, 1834)</t>
  </si>
  <si>
    <t xml:space="preserve">Filinia opoliensis (Zacharias, 1898)</t>
  </si>
  <si>
    <t xml:space="preserve">Hexarthra intermedia (Wiszniewski, 1929)</t>
  </si>
  <si>
    <t xml:space="preserve">Keratella americana Carlin, 1943</t>
  </si>
  <si>
    <t xml:space="preserve">Keratella cochlearis (Gosse, 1851)</t>
  </si>
  <si>
    <t xml:space="preserve">Keratella lenzi Hauer, 1953</t>
  </si>
  <si>
    <t xml:space="preserve">Keratella tropica (Apstein, 1907)</t>
  </si>
  <si>
    <t xml:space="preserve">Kurzia polyspina Hudec, 2000</t>
  </si>
  <si>
    <t xml:space="preserve">Lecane aculeata (Jakubski, 1912)</t>
  </si>
  <si>
    <t xml:space="preserve">Lecane bulla (Gosse, 1851)</t>
  </si>
  <si>
    <t xml:space="preserve">Lecane cornuta (Müller, 1786)</t>
  </si>
  <si>
    <t xml:space="preserve">Lecane curvicornis (Murray, 1913)</t>
  </si>
  <si>
    <t xml:space="preserve">Lecane furcata (Murray, 1913)</t>
  </si>
  <si>
    <t xml:space="preserve">Lecane leontina (Turner, 1892)</t>
  </si>
  <si>
    <t xml:space="preserve">Lecane luna (Müller, 1776)</t>
  </si>
  <si>
    <t xml:space="preserve">Lecane lunaris (Ehrenberg, 1832)</t>
  </si>
  <si>
    <t xml:space="preserve">Lecane papuana (Murray, 1913)</t>
  </si>
  <si>
    <t xml:space="preserve">Lecane quadridentata (Ehrenberg, 1830)</t>
  </si>
  <si>
    <t xml:space="preserve">Lepadella ovalis (Müller, 1786)</t>
  </si>
  <si>
    <t xml:space="preserve">Lepadella patella (Müller, 1773)</t>
  </si>
  <si>
    <t xml:space="preserve">Leydigiopsis curvirostris Sars, 1901</t>
  </si>
  <si>
    <t xml:space="preserve">Leydigia striata Berabén, 1939</t>
  </si>
  <si>
    <t xml:space="preserve">Macrochaetus sericus (Thorpe, 1893)</t>
  </si>
  <si>
    <t xml:space="preserve">Macrothrix laticornis (Jurine, 1820)</t>
  </si>
  <si>
    <t xml:space="preserve">Thermocyclops decipiens (Kiefer, 1929)</t>
  </si>
  <si>
    <t xml:space="preserve">Nauplii</t>
  </si>
  <si>
    <t xml:space="preserve">Notodiaptomus sp.</t>
  </si>
  <si>
    <t xml:space="preserve">Oxyurella ciliata Bergamin, 1939</t>
  </si>
  <si>
    <t xml:space="preserve">Oxyurella longicaudis (Birge, 1910)</t>
  </si>
  <si>
    <t xml:space="preserve">Plationus patulus (Müller, 1786) </t>
  </si>
  <si>
    <t xml:space="preserve">Plationus patulus subsp. macracanthus (Daday, 1786)</t>
  </si>
  <si>
    <t xml:space="preserve">Platyias leloupi Gillard, 1957</t>
  </si>
  <si>
    <t xml:space="preserve">Platyias quadricornis (Ehrenberg, 1832)</t>
  </si>
  <si>
    <t xml:space="preserve">Polyarthra vulgaris Carlin, 1943</t>
  </si>
  <si>
    <t xml:space="preserve">Testudinella patina (Hermann, 1783)</t>
  </si>
  <si>
    <t xml:space="preserve">Trichocerca sp.</t>
  </si>
  <si>
    <t xml:space="preserve">Trichotria tetractis (Ehrenberg, 1830)</t>
  </si>
  <si>
    <t xml:space="preserve">Alo.isabellae</t>
  </si>
  <si>
    <t xml:space="preserve">Bia.ossiani</t>
  </si>
  <si>
    <t xml:space="preserve">Bra.angularis</t>
  </si>
  <si>
    <t xml:space="preserve">Bra.calyciflorus</t>
  </si>
  <si>
    <t xml:space="preserve">Bra.caudatus</t>
  </si>
  <si>
    <t xml:space="preserve">Bra.falcatus</t>
  </si>
  <si>
    <t xml:space="preserve">Bra. Havanaensis</t>
  </si>
  <si>
    <t xml:space="preserve">Bra.quadridentatus</t>
  </si>
  <si>
    <t xml:space="preserve">Cephalodella.sp</t>
  </si>
  <si>
    <t xml:space="preserve">Ceriodaphinia.sp</t>
  </si>
  <si>
    <t xml:space="preserve">Cor.serratalhadensis</t>
  </si>
  <si>
    <t xml:space="preserve">Dia.birgei</t>
  </si>
  <si>
    <t xml:space="preserve">Dicranophorus.sp</t>
  </si>
  <si>
    <t xml:space="preserve">Eph.barroisi</t>
  </si>
  <si>
    <t xml:space="preserve">Eph.hybridus</t>
  </si>
  <si>
    <t xml:space="preserve">Eph.tridentatus</t>
  </si>
  <si>
    <t xml:space="preserve">Epi.macroura</t>
  </si>
  <si>
    <t xml:space="preserve">Fil.longiseta</t>
  </si>
  <si>
    <t xml:space="preserve">Fil.opoliensis</t>
  </si>
  <si>
    <t xml:space="preserve">Hex.intermedia</t>
  </si>
  <si>
    <t xml:space="preserve">Ker.americana</t>
  </si>
  <si>
    <t xml:space="preserve">Ker.cochlearis</t>
  </si>
  <si>
    <t xml:space="preserve">Ker.lenzi</t>
  </si>
  <si>
    <t xml:space="preserve">Ker.tropica</t>
  </si>
  <si>
    <t xml:space="preserve">Kur.polyspina</t>
  </si>
  <si>
    <t xml:space="preserve">Lec.aculeata</t>
  </si>
  <si>
    <t xml:space="preserve">Lec.bulla</t>
  </si>
  <si>
    <t xml:space="preserve">Lec.cornuta</t>
  </si>
  <si>
    <t xml:space="preserve">Lec.curvicornis</t>
  </si>
  <si>
    <t xml:space="preserve">Lec.furcata</t>
  </si>
  <si>
    <t xml:space="preserve">Lec.leontina</t>
  </si>
  <si>
    <t xml:space="preserve">Lec.luna</t>
  </si>
  <si>
    <t xml:space="preserve">Lec.lunaris</t>
  </si>
  <si>
    <t xml:space="preserve">Lec.papuana</t>
  </si>
  <si>
    <t xml:space="preserve">Lec.quadridentata</t>
  </si>
  <si>
    <t xml:space="preserve">Lep.ovalis</t>
  </si>
  <si>
    <t xml:space="preserve">Lep.patella</t>
  </si>
  <si>
    <t xml:space="preserve">Ley.curvirostris</t>
  </si>
  <si>
    <t xml:space="preserve">Ley.striata</t>
  </si>
  <si>
    <t xml:space="preserve">Mac.sericus</t>
  </si>
  <si>
    <t xml:space="preserve">Mac.laticornis</t>
  </si>
  <si>
    <t xml:space="preserve">The.decipiens</t>
  </si>
  <si>
    <t xml:space="preserve">Notodiaptomus.sp</t>
  </si>
  <si>
    <t xml:space="preserve">Oxy.ciliata</t>
  </si>
  <si>
    <t xml:space="preserve">Oxy.longicaudis</t>
  </si>
  <si>
    <t xml:space="preserve">Pla.patulus</t>
  </si>
  <si>
    <t xml:space="preserve">Pla.macracanthus</t>
  </si>
  <si>
    <t xml:space="preserve">Pla.leloupi</t>
  </si>
  <si>
    <t xml:space="preserve">Pla.quadricornis</t>
  </si>
  <si>
    <t xml:space="preserve">Pol.vulgaris</t>
  </si>
  <si>
    <t xml:space="preserve">Tes.patina</t>
  </si>
  <si>
    <t xml:space="preserve">Trichocerca.sp</t>
  </si>
  <si>
    <t xml:space="preserve">Tri.tetractis</t>
  </si>
  <si>
    <t xml:space="preserve">NA</t>
  </si>
  <si>
    <t xml:space="preserve">S-PR-A-P1-C1</t>
  </si>
  <si>
    <t xml:space="preserve">S-PR-A-P2-C1</t>
  </si>
  <si>
    <t xml:space="preserve">S-PR-A-P3-C1</t>
  </si>
  <si>
    <t xml:space="preserve">S-PR-M-P4-C1</t>
  </si>
  <si>
    <t xml:space="preserve">S-PR-M-P5-C1</t>
  </si>
  <si>
    <t xml:space="preserve">S-PR-M-P6-C1</t>
  </si>
  <si>
    <t xml:space="preserve">S-PR-B-P7-C1</t>
  </si>
  <si>
    <t xml:space="preserve">S-PR-B-P8-C1</t>
  </si>
  <si>
    <t xml:space="preserve">S-PR-B-P9-C1</t>
  </si>
  <si>
    <t xml:space="preserve">C-PR-A-P1-C2</t>
  </si>
  <si>
    <t xml:space="preserve">C-PR-A-P2-C2</t>
  </si>
  <si>
    <t xml:space="preserve">C-PR-A-P3-C2</t>
  </si>
  <si>
    <t xml:space="preserve">C-PR-M-P4-C2</t>
  </si>
  <si>
    <t xml:space="preserve">C-PR-M-P5-C2</t>
  </si>
  <si>
    <t xml:space="preserve">C-PR-M-P6-C2</t>
  </si>
  <si>
    <t xml:space="preserve">C-PR-B-P7-C2</t>
  </si>
  <si>
    <t xml:space="preserve">C-PR-B-P8-C2</t>
  </si>
  <si>
    <t xml:space="preserve">C-PR-B-P9-C2</t>
  </si>
  <si>
    <t xml:space="preserve">S-PS-A-P1-C3</t>
  </si>
  <si>
    <t xml:space="preserve">S-PS-A-P2-C3</t>
  </si>
  <si>
    <t xml:space="preserve">S-PS-A-P3-C3</t>
  </si>
  <si>
    <t xml:space="preserve">S-PS-M-P4-C3</t>
  </si>
  <si>
    <t xml:space="preserve">S-PS-M-P5-C3</t>
  </si>
  <si>
    <t xml:space="preserve">S-PS-M-P6-C3</t>
  </si>
  <si>
    <t xml:space="preserve">S-PS-B-P7-C3</t>
  </si>
  <si>
    <t xml:space="preserve">S-PS-B-P8-C3</t>
  </si>
  <si>
    <t xml:space="preserve">S-PS-B-P9-C3</t>
  </si>
  <si>
    <t xml:space="preserve">C-PS-A-P1-C4</t>
  </si>
  <si>
    <t xml:space="preserve">C-PS-A-P2-C4</t>
  </si>
  <si>
    <t xml:space="preserve">C-PS-A-P3-C4</t>
  </si>
  <si>
    <t xml:space="preserve">C-PS-M-P4-C4</t>
  </si>
  <si>
    <t xml:space="preserve">C-PS-M-P5-C4</t>
  </si>
  <si>
    <t xml:space="preserve">C-PS-M-P6-C4</t>
  </si>
  <si>
    <t xml:space="preserve">C-PS-B-P7-C4</t>
  </si>
  <si>
    <t xml:space="preserve">C-PS-B-P8-C4</t>
  </si>
  <si>
    <t xml:space="preserve">C-PS-B-P9-C4</t>
  </si>
  <si>
    <t xml:space="preserve">S-PS-A-P1-C1</t>
  </si>
  <si>
    <t xml:space="preserve">S-PS-A-P2-C1</t>
  </si>
  <si>
    <t xml:space="preserve">S-PS-A-P3-C1</t>
  </si>
  <si>
    <t xml:space="preserve">S-PS-M-P4-C1</t>
  </si>
  <si>
    <t xml:space="preserve">S-PS-M-P5-C1</t>
  </si>
  <si>
    <t xml:space="preserve">S-PS-M-P6-C1</t>
  </si>
  <si>
    <t xml:space="preserve">S-PS-B-P7-C1</t>
  </si>
  <si>
    <t xml:space="preserve">S-PS-B-P8-C1</t>
  </si>
  <si>
    <t xml:space="preserve">S-PS-B-P9-C1</t>
  </si>
  <si>
    <t xml:space="preserve">DESENHO AMOSTRAL DE ZOOPLÂNCTON</t>
  </si>
  <si>
    <t xml:space="preserve">bacias*</t>
  </si>
  <si>
    <t xml:space="preserve">= segmento</t>
  </si>
  <si>
    <t xml:space="preserve">*alto, médio e baixo</t>
  </si>
  <si>
    <t xml:space="preserve">pontos</t>
  </si>
  <si>
    <t xml:space="preserve">vermelho</t>
  </si>
  <si>
    <t xml:space="preserve">errado ou conferir</t>
  </si>
  <si>
    <t xml:space="preserve">potes por ponto</t>
  </si>
  <si>
    <t xml:space="preserve">verde</t>
  </si>
  <si>
    <t xml:space="preserve">conferido</t>
  </si>
  <si>
    <t xml:space="preserve">coletas</t>
  </si>
  <si>
    <t xml:space="preserve">azul</t>
  </si>
  <si>
    <t xml:space="preserve">dados novos</t>
  </si>
  <si>
    <t xml:space="preserve">amostras</t>
  </si>
  <si>
    <t xml:space="preserve">Tags</t>
  </si>
  <si>
    <t xml:space="preserve">No. Da coleta</t>
  </si>
  <si>
    <t xml:space="preserve">Período</t>
  </si>
  <si>
    <t xml:space="preserve">x</t>
  </si>
  <si>
    <t xml:space="preserve">Antes</t>
  </si>
  <si>
    <t xml:space="preserve">S-</t>
  </si>
  <si>
    <t xml:space="preserve">C-</t>
  </si>
  <si>
    <t xml:space="preserve">PR</t>
  </si>
  <si>
    <t xml:space="preserve">Segmento</t>
  </si>
  <si>
    <t xml:space="preserve">Depois</t>
  </si>
  <si>
    <t xml:space="preserve">PS</t>
  </si>
  <si>
    <t xml:space="preserve">A</t>
  </si>
  <si>
    <t xml:space="preserve">Ponto</t>
  </si>
  <si>
    <t xml:space="preserve">M</t>
  </si>
  <si>
    <t xml:space="preserve">Habitat*</t>
  </si>
  <si>
    <t xml:space="preserve">B</t>
  </si>
  <si>
    <t xml:space="preserve">local</t>
  </si>
  <si>
    <t xml:space="preserve">Ponto 1-3</t>
  </si>
  <si>
    <t xml:space="preserve">Alto</t>
  </si>
  <si>
    <t xml:space="preserve">Ponto 1</t>
  </si>
  <si>
    <t xml:space="preserve">jati/ce</t>
  </si>
  <si>
    <t xml:space="preserve">Ponto 4-6</t>
  </si>
  <si>
    <t xml:space="preserve">Médio</t>
  </si>
  <si>
    <t xml:space="preserve">Ponto 2</t>
  </si>
  <si>
    <t xml:space="preserve">aurora/ce</t>
  </si>
  <si>
    <t xml:space="preserve">Ponto 7-9</t>
  </si>
  <si>
    <t xml:space="preserve">Baixo</t>
  </si>
  <si>
    <t xml:space="preserve">Ponto 3</t>
  </si>
  <si>
    <t xml:space="preserve">ico/ce</t>
  </si>
  <si>
    <t xml:space="preserve">Ponto 4</t>
  </si>
  <si>
    <t xml:space="preserve">Ponto 5</t>
  </si>
  <si>
    <t xml:space="preserve">jaguaribe</t>
  </si>
  <si>
    <t xml:space="preserve">Ponto 6</t>
  </si>
  <si>
    <t xml:space="preserve">sjjaguaribe</t>
  </si>
  <si>
    <t xml:space="preserve">*habitat</t>
  </si>
  <si>
    <t xml:space="preserve">=réplica, pote</t>
  </si>
  <si>
    <t xml:space="preserve">Ponto 7</t>
  </si>
  <si>
    <t xml:space="preserve">quixere</t>
  </si>
  <si>
    <t xml:space="preserve">Ponto 8</t>
  </si>
  <si>
    <t xml:space="preserve">russas</t>
  </si>
  <si>
    <t xml:space="preserve">Ponto 9</t>
  </si>
  <si>
    <t xml:space="preserve">jaguaruana</t>
  </si>
  <si>
    <t xml:space="preserve">TOTAL JAGUARIBE</t>
  </si>
  <si>
    <t xml:space="preserve">Lista de acordo com:</t>
  </si>
  <si>
    <t xml:space="preserve">ROTIFERA</t>
  </si>
  <si>
    <t xml:space="preserve">https://www.gbif.org/</t>
  </si>
  <si>
    <t xml:space="preserve">DIGONONTA</t>
  </si>
  <si>
    <t xml:space="preserve">https://www.nies.go.jp/chiiki1/protoz/index.html</t>
  </si>
  <si>
    <t xml:space="preserve">https://www.nies.go.jp/chiiki1/protoz/identi-r.htm</t>
  </si>
  <si>
    <t xml:space="preserve">Notommatidae</t>
  </si>
  <si>
    <t xml:space="preserve">https://www.marinespecies.org/index.php</t>
  </si>
  <si>
    <t xml:space="preserve">https://cladocera.wordpress.com/</t>
  </si>
  <si>
    <t xml:space="preserve">MONOGONONTA</t>
  </si>
  <si>
    <t xml:space="preserve">https://rotifera.aphia.org/</t>
  </si>
  <si>
    <t xml:space="preserve">PLOIMA</t>
  </si>
  <si>
    <t xml:space="preserve">Asplanchnidae </t>
  </si>
  <si>
    <t xml:space="preserve">Asplanchna sp.</t>
  </si>
  <si>
    <t xml:space="preserve">Asplanchna.sp</t>
  </si>
  <si>
    <t xml:space="preserve">Brachionidae</t>
  </si>
  <si>
    <t xml:space="preserve">Bra.havanaensis</t>
  </si>
  <si>
    <t xml:space="preserve">Brachionus plicatilis Müller, 1786</t>
  </si>
  <si>
    <t xml:space="preserve">Bra.plicatilis</t>
  </si>
  <si>
    <t xml:space="preserve">Brachionus urceolaris Müller, 1773</t>
  </si>
  <si>
    <t xml:space="preserve">Bra.urceolaris</t>
  </si>
  <si>
    <t xml:space="preserve">Dicranophoridae</t>
  </si>
  <si>
    <t xml:space="preserve">Epiphanidae</t>
  </si>
  <si>
    <t xml:space="preserve">Lecanidae</t>
  </si>
  <si>
    <t xml:space="preserve">Lepadellidae </t>
  </si>
  <si>
    <t xml:space="preserve">Trichotriidae </t>
  </si>
  <si>
    <t xml:space="preserve">Synchaetidae </t>
  </si>
  <si>
    <t xml:space="preserve">Polyarthra dolichoptera Idelson, 1925</t>
  </si>
  <si>
    <t xml:space="preserve">Pol.dolichoptera</t>
  </si>
  <si>
    <t xml:space="preserve">Trichocercidae </t>
  </si>
  <si>
    <t xml:space="preserve">FLOSCULARIACEAE</t>
  </si>
  <si>
    <t xml:space="preserve">Trochosphaeridae</t>
  </si>
  <si>
    <t xml:space="preserve">Hexarthridae </t>
  </si>
  <si>
    <t xml:space="preserve">Testudinellidae </t>
  </si>
  <si>
    <t xml:space="preserve">CRUSTACEA</t>
  </si>
  <si>
    <t xml:space="preserve">  CLADOCERA</t>
  </si>
  <si>
    <t xml:space="preserve">     ANOMOPODA</t>
  </si>
  <si>
    <t xml:space="preserve">Chydoridae</t>
  </si>
  <si>
    <t xml:space="preserve">Daphniidae</t>
  </si>
  <si>
    <t xml:space="preserve">Sididae</t>
  </si>
  <si>
    <t xml:space="preserve">Macrothricidae</t>
  </si>
  <si>
    <t xml:space="preserve">COPEPODA</t>
  </si>
  <si>
    <t xml:space="preserve">  CYCLOPOIDA</t>
  </si>
  <si>
    <t xml:space="preserve">Cyclopidae</t>
  </si>
  <si>
    <t xml:space="preserve">  CALANOIDA</t>
  </si>
  <si>
    <t xml:space="preserve">Diaptomidae</t>
  </si>
  <si>
    <t xml:space="preserve">  HARPACTICOIDA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</si>
</sst>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/m/yyyy"/>
    <numFmt numFmtId="167" formatCode="0.00"/>
    <numFmt numFmtId="168" formatCode="#,##0.00"/>
    <numFmt numFmtId="169" formatCode="mmm/yy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ptos narrow"/>
      <family val="0"/>
      <charset val="1"/>
    </font>
    <font>
      <sz val="11"/>
      <name val="Aptos Narrow"/>
      <family val="2"/>
      <charset val="1"/>
    </font>
    <font>
      <b val="true"/>
      <sz val="10"/>
      <name val="Aptos narrow"/>
      <family val="0"/>
      <charset val="1"/>
    </font>
    <font>
      <b val="true"/>
      <sz val="11"/>
      <name val="Aptos Narrow"/>
      <family val="2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sz val="10"/>
      <color rgb="FFFF0000"/>
      <name val="Aptos narrow"/>
      <family val="0"/>
      <charset val="1"/>
    </font>
    <font>
      <sz val="10"/>
      <color rgb="FF00B050"/>
      <name val="Aptos narrow"/>
      <family val="0"/>
      <charset val="1"/>
    </font>
    <font>
      <sz val="10"/>
      <color rgb="FF2A6099"/>
      <name val="Aptos narrow"/>
      <family val="0"/>
      <charset val="1"/>
    </font>
    <font>
      <sz val="10"/>
      <color rgb="FF0070C0"/>
      <name val="Aptos narrow"/>
      <family val="0"/>
      <charset val="1"/>
    </font>
    <font>
      <sz val="10"/>
      <color theme="1"/>
      <name val="Aptos narrow"/>
      <family val="0"/>
      <charset val="1"/>
    </font>
    <font>
      <b val="true"/>
      <sz val="10"/>
      <color rgb="FFFF0000"/>
      <name val="Aptos narrow"/>
      <family val="0"/>
      <charset val="1"/>
    </font>
    <font>
      <u val="single"/>
      <sz val="10"/>
      <color rgb="FF0000EE"/>
      <name val="Aptos narrow"/>
      <family val="0"/>
      <charset val="1"/>
    </font>
    <font>
      <sz val="10"/>
      <color rgb="FF00AE00"/>
      <name val="Aptos narrow"/>
      <family val="0"/>
      <charset val="1"/>
    </font>
    <font>
      <sz val="10"/>
      <color rgb="FF008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E0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gbif.org/" TargetMode="External"/><Relationship Id="rId2" Type="http://schemas.openxmlformats.org/officeDocument/2006/relationships/hyperlink" Target="https://www.nies.go.jp/chiiki1/protoz/index.html" TargetMode="External"/><Relationship Id="rId3" Type="http://schemas.openxmlformats.org/officeDocument/2006/relationships/hyperlink" Target="https://www.nies.go.jp/chiiki1/protoz/identi-r.htm" TargetMode="External"/><Relationship Id="rId4" Type="http://schemas.openxmlformats.org/officeDocument/2006/relationships/hyperlink" Target="https://www.marinespecies.org/index.php" TargetMode="External"/><Relationship Id="rId5" Type="http://schemas.openxmlformats.org/officeDocument/2006/relationships/hyperlink" Target="https://cladocera.wordpress.com/" TargetMode="External"/><Relationship Id="rId6" Type="http://schemas.openxmlformats.org/officeDocument/2006/relationships/hyperlink" Target="https://rotifera.aphia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7.74"/>
    <col collapsed="false" customWidth="true" hidden="false" outlineLevel="0" max="2" min="2" style="1" width="17.76"/>
    <col collapsed="false" customWidth="true" hidden="false" outlineLevel="0" max="4" min="3" style="2" width="13.51"/>
    <col collapsed="false" customWidth="true" hidden="false" outlineLevel="0" max="5" min="5" style="1" width="9.65"/>
    <col collapsed="false" customWidth="false" hidden="false" outlineLevel="0" max="6" min="6" style="1" width="11.49"/>
    <col collapsed="false" customWidth="true" hidden="false" outlineLevel="0" max="7" min="7" style="1" width="13.51"/>
    <col collapsed="false" customWidth="true" hidden="false" outlineLevel="0" max="8" min="8" style="1" width="10.99"/>
    <col collapsed="false" customWidth="true" hidden="false" outlineLevel="0" max="9" min="9" style="1" width="12.42"/>
    <col collapsed="false" customWidth="false" hidden="false" outlineLevel="0" max="10" min="10" style="1" width="11.53"/>
    <col collapsed="false" customWidth="false" hidden="false" outlineLevel="0" max="11" min="11" style="3" width="11.53"/>
    <col collapsed="false" customWidth="false" hidden="false" outlineLevel="0" max="16384" min="12" style="1" width="11.53"/>
  </cols>
  <sheetData>
    <row r="1" customFormat="false" ht="13.8" hidden="false" customHeight="false" outlineLevel="0" collapsed="false">
      <c r="A1" s="4" t="str">
        <f aca="false">"n = "&amp;COUNTA(A2:A1014)</f>
        <v>n = 135</v>
      </c>
      <c r="B1" s="5" t="s">
        <v>0</v>
      </c>
      <c r="C1" s="6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4" t="str">
        <f aca="false">"Alíquota = "&amp;SUM(I2:I136)</f>
        <v>Alíquota = 2700</v>
      </c>
      <c r="J1" s="7" t="str">
        <f aca="false">"Amostras = "&amp;SUM(J2:J136)</f>
        <v>Amostras = 60</v>
      </c>
    </row>
    <row r="2" customFormat="false" ht="13.8" hidden="false" customHeight="false" outlineLevel="0" collapsed="false">
      <c r="A2" s="4" t="s">
        <v>7</v>
      </c>
      <c r="B2" s="1" t="s">
        <v>8</v>
      </c>
      <c r="C2" s="8" t="s">
        <v>9</v>
      </c>
      <c r="D2" s="8" t="s">
        <v>10</v>
      </c>
      <c r="E2" s="9" t="n">
        <v>1</v>
      </c>
      <c r="F2" s="10" t="n">
        <v>43767</v>
      </c>
      <c r="G2" s="9" t="s">
        <v>11</v>
      </c>
      <c r="H2" s="9" t="n">
        <v>1</v>
      </c>
      <c r="I2" s="1" t="n">
        <v>20</v>
      </c>
      <c r="J2" s="1" t="n">
        <v>0</v>
      </c>
    </row>
    <row r="3" customFormat="false" ht="13.8" hidden="false" customHeight="false" outlineLevel="0" collapsed="false">
      <c r="A3" s="4" t="s">
        <v>7</v>
      </c>
      <c r="B3" s="1" t="s">
        <v>12</v>
      </c>
      <c r="C3" s="8" t="s">
        <v>9</v>
      </c>
      <c r="D3" s="8" t="s">
        <v>10</v>
      </c>
      <c r="E3" s="9" t="n">
        <v>1</v>
      </c>
      <c r="F3" s="10" t="n">
        <v>43767</v>
      </c>
      <c r="G3" s="9" t="s">
        <v>11</v>
      </c>
      <c r="H3" s="9" t="n">
        <v>2</v>
      </c>
      <c r="I3" s="1" t="n">
        <v>20</v>
      </c>
      <c r="J3" s="1" t="n">
        <v>0</v>
      </c>
    </row>
    <row r="4" customFormat="false" ht="13.8" hidden="false" customHeight="false" outlineLevel="0" collapsed="false">
      <c r="A4" s="4" t="s">
        <v>7</v>
      </c>
      <c r="B4" s="1" t="s">
        <v>13</v>
      </c>
      <c r="C4" s="8" t="s">
        <v>9</v>
      </c>
      <c r="D4" s="8" t="s">
        <v>10</v>
      </c>
      <c r="E4" s="9" t="n">
        <v>1</v>
      </c>
      <c r="F4" s="10" t="n">
        <v>43767</v>
      </c>
      <c r="G4" s="9" t="s">
        <v>11</v>
      </c>
      <c r="H4" s="9" t="n">
        <v>3</v>
      </c>
      <c r="I4" s="1" t="n">
        <v>20</v>
      </c>
      <c r="J4" s="1" t="n">
        <v>0</v>
      </c>
    </row>
    <row r="5" customFormat="false" ht="13.8" hidden="false" customHeight="false" outlineLevel="0" collapsed="false">
      <c r="A5" s="4" t="s">
        <v>14</v>
      </c>
      <c r="B5" s="1" t="s">
        <v>15</v>
      </c>
      <c r="C5" s="8" t="s">
        <v>9</v>
      </c>
      <c r="D5" s="8" t="s">
        <v>10</v>
      </c>
      <c r="E5" s="9" t="n">
        <v>1</v>
      </c>
      <c r="F5" s="10" t="n">
        <v>43768</v>
      </c>
      <c r="G5" s="9" t="s">
        <v>11</v>
      </c>
      <c r="H5" s="9" t="n">
        <v>1</v>
      </c>
      <c r="I5" s="1" t="n">
        <v>20</v>
      </c>
      <c r="J5" s="1" t="n">
        <v>0</v>
      </c>
    </row>
    <row r="6" customFormat="false" ht="13.8" hidden="false" customHeight="false" outlineLevel="0" collapsed="false">
      <c r="A6" s="4" t="s">
        <v>14</v>
      </c>
      <c r="B6" s="1" t="s">
        <v>16</v>
      </c>
      <c r="C6" s="8" t="s">
        <v>9</v>
      </c>
      <c r="D6" s="8" t="s">
        <v>10</v>
      </c>
      <c r="E6" s="9" t="n">
        <v>1</v>
      </c>
      <c r="F6" s="10" t="n">
        <v>43768</v>
      </c>
      <c r="G6" s="9" t="s">
        <v>11</v>
      </c>
      <c r="H6" s="9" t="n">
        <v>2</v>
      </c>
      <c r="I6" s="1" t="n">
        <v>20</v>
      </c>
      <c r="J6" s="1" t="n">
        <v>0</v>
      </c>
    </row>
    <row r="7" customFormat="false" ht="13.8" hidden="false" customHeight="false" outlineLevel="0" collapsed="false">
      <c r="A7" s="4" t="s">
        <v>14</v>
      </c>
      <c r="B7" s="1" t="s">
        <v>17</v>
      </c>
      <c r="C7" s="8" t="s">
        <v>9</v>
      </c>
      <c r="D7" s="8" t="s">
        <v>10</v>
      </c>
      <c r="E7" s="9" t="n">
        <v>1</v>
      </c>
      <c r="F7" s="10" t="n">
        <v>43768</v>
      </c>
      <c r="G7" s="9" t="s">
        <v>11</v>
      </c>
      <c r="H7" s="9" t="n">
        <v>3</v>
      </c>
      <c r="I7" s="1" t="n">
        <v>20</v>
      </c>
      <c r="J7" s="1" t="n">
        <v>0</v>
      </c>
    </row>
    <row r="8" customFormat="false" ht="13.8" hidden="false" customHeight="false" outlineLevel="0" collapsed="false">
      <c r="A8" s="4" t="s">
        <v>18</v>
      </c>
      <c r="B8" s="1" t="s">
        <v>19</v>
      </c>
      <c r="C8" s="8" t="s">
        <v>9</v>
      </c>
      <c r="D8" s="8" t="s">
        <v>10</v>
      </c>
      <c r="E8" s="9" t="n">
        <v>1</v>
      </c>
      <c r="F8" s="10" t="n">
        <v>43769</v>
      </c>
      <c r="G8" s="9" t="s">
        <v>11</v>
      </c>
      <c r="H8" s="9" t="n">
        <v>1</v>
      </c>
      <c r="I8" s="1" t="n">
        <v>20</v>
      </c>
      <c r="J8" s="1" t="n">
        <v>0</v>
      </c>
    </row>
    <row r="9" customFormat="false" ht="13.8" hidden="false" customHeight="false" outlineLevel="0" collapsed="false">
      <c r="A9" s="4" t="s">
        <v>18</v>
      </c>
      <c r="B9" s="1" t="s">
        <v>20</v>
      </c>
      <c r="C9" s="8" t="s">
        <v>9</v>
      </c>
      <c r="D9" s="8" t="s">
        <v>10</v>
      </c>
      <c r="E9" s="9" t="n">
        <v>1</v>
      </c>
      <c r="F9" s="10" t="n">
        <v>43769</v>
      </c>
      <c r="G9" s="9" t="s">
        <v>11</v>
      </c>
      <c r="H9" s="9" t="n">
        <v>2</v>
      </c>
      <c r="I9" s="1" t="n">
        <v>20</v>
      </c>
      <c r="J9" s="1" t="n">
        <v>0</v>
      </c>
    </row>
    <row r="10" customFormat="false" ht="13.8" hidden="false" customHeight="false" outlineLevel="0" collapsed="false">
      <c r="A10" s="4" t="s">
        <v>18</v>
      </c>
      <c r="B10" s="1" t="s">
        <v>21</v>
      </c>
      <c r="C10" s="8" t="s">
        <v>9</v>
      </c>
      <c r="D10" s="8" t="s">
        <v>10</v>
      </c>
      <c r="E10" s="9" t="n">
        <v>1</v>
      </c>
      <c r="F10" s="10" t="n">
        <v>43769</v>
      </c>
      <c r="G10" s="9" t="s">
        <v>11</v>
      </c>
      <c r="H10" s="9" t="n">
        <v>3</v>
      </c>
      <c r="I10" s="1" t="n">
        <v>20</v>
      </c>
      <c r="J10" s="1" t="n">
        <v>0</v>
      </c>
    </row>
    <row r="11" customFormat="false" ht="13.8" hidden="false" customHeight="false" outlineLevel="0" collapsed="false">
      <c r="A11" s="4" t="s">
        <v>22</v>
      </c>
      <c r="B11" s="1" t="s">
        <v>23</v>
      </c>
      <c r="C11" s="8" t="s">
        <v>9</v>
      </c>
      <c r="D11" s="8" t="s">
        <v>10</v>
      </c>
      <c r="E11" s="9" t="n">
        <v>1</v>
      </c>
      <c r="F11" s="10" t="n">
        <v>43769</v>
      </c>
      <c r="G11" s="9" t="s">
        <v>11</v>
      </c>
      <c r="H11" s="9" t="n">
        <v>1</v>
      </c>
      <c r="I11" s="1" t="n">
        <v>20</v>
      </c>
      <c r="J11" s="1" t="n">
        <v>0</v>
      </c>
    </row>
    <row r="12" customFormat="false" ht="13.8" hidden="false" customHeight="false" outlineLevel="0" collapsed="false">
      <c r="A12" s="4" t="s">
        <v>22</v>
      </c>
      <c r="B12" s="1" t="s">
        <v>24</v>
      </c>
      <c r="C12" s="8" t="s">
        <v>9</v>
      </c>
      <c r="D12" s="8" t="s">
        <v>10</v>
      </c>
      <c r="E12" s="9" t="n">
        <v>1</v>
      </c>
      <c r="F12" s="10" t="n">
        <v>43769</v>
      </c>
      <c r="G12" s="9" t="s">
        <v>11</v>
      </c>
      <c r="H12" s="9" t="n">
        <v>2</v>
      </c>
      <c r="I12" s="1" t="n">
        <v>20</v>
      </c>
      <c r="J12" s="1" t="n">
        <v>0</v>
      </c>
    </row>
    <row r="13" customFormat="false" ht="13.8" hidden="false" customHeight="false" outlineLevel="0" collapsed="false">
      <c r="A13" s="4" t="s">
        <v>22</v>
      </c>
      <c r="B13" s="1" t="s">
        <v>25</v>
      </c>
      <c r="C13" s="8" t="s">
        <v>9</v>
      </c>
      <c r="D13" s="8" t="s">
        <v>10</v>
      </c>
      <c r="E13" s="9" t="n">
        <v>1</v>
      </c>
      <c r="F13" s="10" t="n">
        <v>43769</v>
      </c>
      <c r="G13" s="9" t="s">
        <v>11</v>
      </c>
      <c r="H13" s="9" t="n">
        <v>3</v>
      </c>
      <c r="I13" s="1" t="n">
        <v>20</v>
      </c>
      <c r="J13" s="1" t="n">
        <v>0</v>
      </c>
    </row>
    <row r="14" customFormat="false" ht="13.8" hidden="false" customHeight="false" outlineLevel="0" collapsed="false">
      <c r="A14" s="4" t="s">
        <v>26</v>
      </c>
      <c r="B14" s="1" t="s">
        <v>27</v>
      </c>
      <c r="C14" s="8" t="s">
        <v>9</v>
      </c>
      <c r="D14" s="8" t="s">
        <v>10</v>
      </c>
      <c r="E14" s="9" t="n">
        <v>1</v>
      </c>
      <c r="F14" s="10" t="n">
        <v>43769</v>
      </c>
      <c r="G14" s="9" t="s">
        <v>11</v>
      </c>
      <c r="H14" s="9" t="n">
        <v>1</v>
      </c>
      <c r="I14" s="1" t="n">
        <v>20</v>
      </c>
      <c r="J14" s="1" t="n">
        <v>0</v>
      </c>
    </row>
    <row r="15" customFormat="false" ht="13.8" hidden="false" customHeight="false" outlineLevel="0" collapsed="false">
      <c r="A15" s="4" t="s">
        <v>26</v>
      </c>
      <c r="B15" s="1" t="s">
        <v>28</v>
      </c>
      <c r="C15" s="8" t="s">
        <v>9</v>
      </c>
      <c r="D15" s="8" t="s">
        <v>10</v>
      </c>
      <c r="E15" s="9" t="n">
        <v>1</v>
      </c>
      <c r="F15" s="10" t="n">
        <v>43769</v>
      </c>
      <c r="G15" s="9" t="s">
        <v>11</v>
      </c>
      <c r="H15" s="9" t="n">
        <v>2</v>
      </c>
      <c r="I15" s="1" t="n">
        <v>20</v>
      </c>
      <c r="J15" s="1" t="n">
        <v>0</v>
      </c>
    </row>
    <row r="16" customFormat="false" ht="13.8" hidden="false" customHeight="false" outlineLevel="0" collapsed="false">
      <c r="A16" s="4" t="s">
        <v>26</v>
      </c>
      <c r="B16" s="1" t="s">
        <v>29</v>
      </c>
      <c r="C16" s="8" t="s">
        <v>9</v>
      </c>
      <c r="D16" s="8" t="s">
        <v>10</v>
      </c>
      <c r="E16" s="9" t="n">
        <v>1</v>
      </c>
      <c r="F16" s="10" t="n">
        <v>43769</v>
      </c>
      <c r="G16" s="9" t="s">
        <v>11</v>
      </c>
      <c r="H16" s="9" t="n">
        <v>3</v>
      </c>
      <c r="I16" s="1" t="n">
        <v>20</v>
      </c>
      <c r="J16" s="1" t="n">
        <v>0</v>
      </c>
    </row>
    <row r="17" customFormat="false" ht="13.8" hidden="false" customHeight="false" outlineLevel="0" collapsed="false">
      <c r="A17" s="4" t="s">
        <v>30</v>
      </c>
      <c r="B17" s="1" t="s">
        <v>31</v>
      </c>
      <c r="C17" s="8" t="s">
        <v>9</v>
      </c>
      <c r="D17" s="8" t="s">
        <v>10</v>
      </c>
      <c r="E17" s="9" t="n">
        <v>1</v>
      </c>
      <c r="F17" s="10" t="n">
        <v>43769</v>
      </c>
      <c r="G17" s="9" t="s">
        <v>11</v>
      </c>
      <c r="H17" s="9" t="n">
        <v>1</v>
      </c>
      <c r="I17" s="1" t="n">
        <v>20</v>
      </c>
      <c r="J17" s="1" t="n">
        <v>0</v>
      </c>
    </row>
    <row r="18" customFormat="false" ht="13.8" hidden="false" customHeight="false" outlineLevel="0" collapsed="false">
      <c r="A18" s="4" t="s">
        <v>30</v>
      </c>
      <c r="B18" s="1" t="s">
        <v>32</v>
      </c>
      <c r="C18" s="8" t="s">
        <v>9</v>
      </c>
      <c r="D18" s="8" t="s">
        <v>10</v>
      </c>
      <c r="E18" s="9" t="n">
        <v>1</v>
      </c>
      <c r="F18" s="10" t="n">
        <v>43769</v>
      </c>
      <c r="G18" s="9" t="s">
        <v>11</v>
      </c>
      <c r="H18" s="9" t="n">
        <v>2</v>
      </c>
      <c r="I18" s="1" t="n">
        <v>20</v>
      </c>
      <c r="J18" s="1" t="n">
        <v>0</v>
      </c>
    </row>
    <row r="19" customFormat="false" ht="13.8" hidden="false" customHeight="false" outlineLevel="0" collapsed="false">
      <c r="A19" s="4" t="s">
        <v>30</v>
      </c>
      <c r="B19" s="1" t="s">
        <v>33</v>
      </c>
      <c r="C19" s="8" t="s">
        <v>9</v>
      </c>
      <c r="D19" s="8" t="s">
        <v>10</v>
      </c>
      <c r="E19" s="9" t="n">
        <v>1</v>
      </c>
      <c r="F19" s="10" t="n">
        <v>43769</v>
      </c>
      <c r="G19" s="9" t="s">
        <v>11</v>
      </c>
      <c r="H19" s="9" t="n">
        <v>3</v>
      </c>
      <c r="I19" s="1" t="n">
        <v>20</v>
      </c>
      <c r="J19" s="1" t="n">
        <v>0</v>
      </c>
    </row>
    <row r="20" customFormat="false" ht="13.8" hidden="false" customHeight="false" outlineLevel="0" collapsed="false">
      <c r="A20" s="4" t="s">
        <v>34</v>
      </c>
      <c r="B20" s="1" t="s">
        <v>35</v>
      </c>
      <c r="C20" s="8" t="s">
        <v>9</v>
      </c>
      <c r="D20" s="8" t="s">
        <v>10</v>
      </c>
      <c r="E20" s="9" t="n">
        <v>1</v>
      </c>
      <c r="F20" s="10" t="n">
        <v>43770</v>
      </c>
      <c r="G20" s="9" t="s">
        <v>11</v>
      </c>
      <c r="H20" s="9" t="n">
        <v>1</v>
      </c>
      <c r="I20" s="1" t="n">
        <v>20</v>
      </c>
      <c r="J20" s="1" t="n">
        <v>0</v>
      </c>
    </row>
    <row r="21" customFormat="false" ht="13.8" hidden="false" customHeight="false" outlineLevel="0" collapsed="false">
      <c r="A21" s="4" t="s">
        <v>34</v>
      </c>
      <c r="B21" s="1" t="s">
        <v>36</v>
      </c>
      <c r="C21" s="8" t="s">
        <v>9</v>
      </c>
      <c r="D21" s="8" t="s">
        <v>10</v>
      </c>
      <c r="E21" s="9" t="n">
        <v>1</v>
      </c>
      <c r="F21" s="10" t="n">
        <v>43770</v>
      </c>
      <c r="G21" s="9" t="s">
        <v>11</v>
      </c>
      <c r="H21" s="9" t="n">
        <v>2</v>
      </c>
      <c r="I21" s="1" t="n">
        <v>20</v>
      </c>
      <c r="J21" s="1" t="n">
        <v>0</v>
      </c>
    </row>
    <row r="22" customFormat="false" ht="13.8" hidden="false" customHeight="false" outlineLevel="0" collapsed="false">
      <c r="A22" s="4" t="s">
        <v>34</v>
      </c>
      <c r="B22" s="1" t="s">
        <v>37</v>
      </c>
      <c r="C22" s="8" t="s">
        <v>9</v>
      </c>
      <c r="D22" s="8" t="s">
        <v>10</v>
      </c>
      <c r="E22" s="9" t="n">
        <v>1</v>
      </c>
      <c r="F22" s="10" t="n">
        <v>43770</v>
      </c>
      <c r="G22" s="9" t="s">
        <v>11</v>
      </c>
      <c r="H22" s="9" t="n">
        <v>3</v>
      </c>
      <c r="I22" s="1" t="n">
        <v>20</v>
      </c>
      <c r="J22" s="1" t="n">
        <v>0</v>
      </c>
    </row>
    <row r="23" customFormat="false" ht="13.8" hidden="false" customHeight="false" outlineLevel="0" collapsed="false">
      <c r="A23" s="4" t="s">
        <v>38</v>
      </c>
      <c r="B23" s="1" t="s">
        <v>39</v>
      </c>
      <c r="C23" s="8" t="s">
        <v>9</v>
      </c>
      <c r="D23" s="8" t="s">
        <v>10</v>
      </c>
      <c r="E23" s="9" t="n">
        <v>1</v>
      </c>
      <c r="F23" s="10" t="n">
        <v>43770</v>
      </c>
      <c r="G23" s="9" t="s">
        <v>11</v>
      </c>
      <c r="H23" s="9" t="n">
        <v>1</v>
      </c>
      <c r="I23" s="1" t="n">
        <v>20</v>
      </c>
      <c r="J23" s="1" t="n">
        <v>0</v>
      </c>
    </row>
    <row r="24" customFormat="false" ht="13.8" hidden="false" customHeight="false" outlineLevel="0" collapsed="false">
      <c r="A24" s="4" t="s">
        <v>38</v>
      </c>
      <c r="B24" s="1" t="s">
        <v>40</v>
      </c>
      <c r="C24" s="8" t="s">
        <v>9</v>
      </c>
      <c r="D24" s="8" t="s">
        <v>10</v>
      </c>
      <c r="E24" s="9" t="n">
        <v>1</v>
      </c>
      <c r="F24" s="10" t="n">
        <v>43770</v>
      </c>
      <c r="G24" s="9" t="s">
        <v>11</v>
      </c>
      <c r="H24" s="9" t="n">
        <v>2</v>
      </c>
      <c r="I24" s="1" t="n">
        <v>20</v>
      </c>
      <c r="J24" s="1" t="n">
        <v>0</v>
      </c>
    </row>
    <row r="25" customFormat="false" ht="13.8" hidden="false" customHeight="false" outlineLevel="0" collapsed="false">
      <c r="A25" s="4" t="s">
        <v>38</v>
      </c>
      <c r="B25" s="1" t="s">
        <v>41</v>
      </c>
      <c r="C25" s="8" t="s">
        <v>9</v>
      </c>
      <c r="D25" s="8" t="s">
        <v>10</v>
      </c>
      <c r="E25" s="9" t="n">
        <v>1</v>
      </c>
      <c r="F25" s="10" t="n">
        <v>43770</v>
      </c>
      <c r="G25" s="9" t="s">
        <v>11</v>
      </c>
      <c r="H25" s="9" t="n">
        <v>3</v>
      </c>
      <c r="I25" s="1" t="n">
        <v>20</v>
      </c>
      <c r="J25" s="1" t="n">
        <v>0</v>
      </c>
    </row>
    <row r="26" customFormat="false" ht="13.8" hidden="false" customHeight="false" outlineLevel="0" collapsed="false">
      <c r="A26" s="4" t="s">
        <v>42</v>
      </c>
      <c r="B26" s="1" t="s">
        <v>43</v>
      </c>
      <c r="C26" s="8" t="s">
        <v>9</v>
      </c>
      <c r="D26" s="8" t="s">
        <v>10</v>
      </c>
      <c r="E26" s="9" t="n">
        <v>1</v>
      </c>
      <c r="F26" s="10" t="n">
        <v>43770</v>
      </c>
      <c r="G26" s="9" t="s">
        <v>11</v>
      </c>
      <c r="H26" s="9" t="n">
        <v>1</v>
      </c>
      <c r="I26" s="1" t="n">
        <v>20</v>
      </c>
      <c r="J26" s="1" t="n">
        <v>0</v>
      </c>
    </row>
    <row r="27" customFormat="false" ht="13.8" hidden="false" customHeight="false" outlineLevel="0" collapsed="false">
      <c r="A27" s="4" t="s">
        <v>42</v>
      </c>
      <c r="B27" s="1" t="s">
        <v>44</v>
      </c>
      <c r="C27" s="8" t="s">
        <v>9</v>
      </c>
      <c r="D27" s="8" t="s">
        <v>10</v>
      </c>
      <c r="E27" s="9" t="n">
        <v>1</v>
      </c>
      <c r="F27" s="10" t="n">
        <v>43770</v>
      </c>
      <c r="G27" s="9" t="s">
        <v>11</v>
      </c>
      <c r="H27" s="9" t="n">
        <v>2</v>
      </c>
      <c r="I27" s="1" t="n">
        <v>20</v>
      </c>
      <c r="J27" s="1" t="n">
        <v>0</v>
      </c>
    </row>
    <row r="28" customFormat="false" ht="13.8" hidden="false" customHeight="false" outlineLevel="0" collapsed="false">
      <c r="A28" s="4" t="s">
        <v>42</v>
      </c>
      <c r="B28" s="1" t="s">
        <v>45</v>
      </c>
      <c r="C28" s="8" t="s">
        <v>9</v>
      </c>
      <c r="D28" s="8" t="s">
        <v>10</v>
      </c>
      <c r="E28" s="9" t="n">
        <v>1</v>
      </c>
      <c r="F28" s="10" t="n">
        <v>43770</v>
      </c>
      <c r="G28" s="9" t="s">
        <v>11</v>
      </c>
      <c r="H28" s="9" t="n">
        <v>3</v>
      </c>
      <c r="I28" s="1" t="n">
        <v>20</v>
      </c>
      <c r="J28" s="1" t="n">
        <v>0</v>
      </c>
    </row>
    <row r="29" customFormat="false" ht="13.8" hidden="false" customHeight="false" outlineLevel="0" collapsed="false">
      <c r="A29" s="4" t="s">
        <v>7</v>
      </c>
      <c r="B29" s="1" t="s">
        <v>46</v>
      </c>
      <c r="C29" s="8" t="s">
        <v>47</v>
      </c>
      <c r="D29" s="8" t="s">
        <v>10</v>
      </c>
      <c r="E29" s="9" t="n">
        <v>2</v>
      </c>
      <c r="F29" s="10" t="n">
        <v>43893</v>
      </c>
      <c r="G29" s="9" t="s">
        <v>11</v>
      </c>
      <c r="H29" s="9" t="n">
        <v>1</v>
      </c>
      <c r="I29" s="1" t="n">
        <v>20</v>
      </c>
      <c r="J29" s="1" t="n">
        <v>0</v>
      </c>
    </row>
    <row r="30" customFormat="false" ht="13.8" hidden="false" customHeight="false" outlineLevel="0" collapsed="false">
      <c r="A30" s="4" t="s">
        <v>7</v>
      </c>
      <c r="B30" s="1" t="s">
        <v>48</v>
      </c>
      <c r="C30" s="8" t="s">
        <v>47</v>
      </c>
      <c r="D30" s="8" t="s">
        <v>10</v>
      </c>
      <c r="E30" s="9" t="n">
        <v>2</v>
      </c>
      <c r="F30" s="10" t="n">
        <v>43893</v>
      </c>
      <c r="G30" s="9" t="s">
        <v>11</v>
      </c>
      <c r="H30" s="9" t="n">
        <v>2</v>
      </c>
      <c r="I30" s="1" t="n">
        <v>20</v>
      </c>
      <c r="J30" s="1" t="n">
        <v>0</v>
      </c>
    </row>
    <row r="31" customFormat="false" ht="13.8" hidden="false" customHeight="false" outlineLevel="0" collapsed="false">
      <c r="A31" s="4" t="s">
        <v>7</v>
      </c>
      <c r="B31" s="1" t="s">
        <v>49</v>
      </c>
      <c r="C31" s="8" t="s">
        <v>47</v>
      </c>
      <c r="D31" s="8" t="s">
        <v>10</v>
      </c>
      <c r="E31" s="9" t="n">
        <v>2</v>
      </c>
      <c r="F31" s="10" t="n">
        <v>43893</v>
      </c>
      <c r="G31" s="9" t="s">
        <v>11</v>
      </c>
      <c r="H31" s="9" t="n">
        <v>3</v>
      </c>
      <c r="I31" s="1" t="n">
        <v>20</v>
      </c>
      <c r="J31" s="1" t="n">
        <v>0</v>
      </c>
    </row>
    <row r="32" customFormat="false" ht="13.8" hidden="false" customHeight="false" outlineLevel="0" collapsed="false">
      <c r="A32" s="4" t="s">
        <v>14</v>
      </c>
      <c r="B32" s="1" t="s">
        <v>50</v>
      </c>
      <c r="C32" s="8" t="s">
        <v>47</v>
      </c>
      <c r="D32" s="8" t="s">
        <v>10</v>
      </c>
      <c r="E32" s="9" t="n">
        <v>2</v>
      </c>
      <c r="F32" s="10" t="n">
        <v>43894</v>
      </c>
      <c r="G32" s="9" t="s">
        <v>11</v>
      </c>
      <c r="H32" s="9" t="n">
        <v>1</v>
      </c>
      <c r="I32" s="1" t="n">
        <v>20</v>
      </c>
      <c r="J32" s="1" t="n">
        <v>0</v>
      </c>
    </row>
    <row r="33" customFormat="false" ht="13.8" hidden="false" customHeight="false" outlineLevel="0" collapsed="false">
      <c r="A33" s="4" t="s">
        <v>14</v>
      </c>
      <c r="B33" s="1" t="s">
        <v>51</v>
      </c>
      <c r="C33" s="8" t="s">
        <v>47</v>
      </c>
      <c r="D33" s="8" t="s">
        <v>10</v>
      </c>
      <c r="E33" s="9" t="n">
        <v>2</v>
      </c>
      <c r="F33" s="10" t="n">
        <v>43894</v>
      </c>
      <c r="G33" s="9" t="s">
        <v>11</v>
      </c>
      <c r="H33" s="9" t="n">
        <v>2</v>
      </c>
      <c r="I33" s="1" t="n">
        <v>20</v>
      </c>
      <c r="J33" s="1" t="n">
        <v>0</v>
      </c>
    </row>
    <row r="34" customFormat="false" ht="13.8" hidden="false" customHeight="false" outlineLevel="0" collapsed="false">
      <c r="A34" s="4" t="s">
        <v>14</v>
      </c>
      <c r="B34" s="1" t="s">
        <v>52</v>
      </c>
      <c r="C34" s="8" t="s">
        <v>47</v>
      </c>
      <c r="D34" s="8" t="s">
        <v>10</v>
      </c>
      <c r="E34" s="9" t="n">
        <v>2</v>
      </c>
      <c r="F34" s="10" t="n">
        <v>43894</v>
      </c>
      <c r="G34" s="9" t="s">
        <v>11</v>
      </c>
      <c r="H34" s="9" t="n">
        <v>3</v>
      </c>
      <c r="I34" s="1" t="n">
        <v>20</v>
      </c>
      <c r="J34" s="1" t="n">
        <v>0</v>
      </c>
    </row>
    <row r="35" customFormat="false" ht="13.8" hidden="false" customHeight="false" outlineLevel="0" collapsed="false">
      <c r="A35" s="4" t="s">
        <v>18</v>
      </c>
      <c r="B35" s="1" t="s">
        <v>53</v>
      </c>
      <c r="C35" s="8" t="s">
        <v>47</v>
      </c>
      <c r="D35" s="8" t="s">
        <v>10</v>
      </c>
      <c r="E35" s="9" t="n">
        <v>2</v>
      </c>
      <c r="F35" s="10" t="n">
        <v>43894</v>
      </c>
      <c r="G35" s="9" t="s">
        <v>11</v>
      </c>
      <c r="H35" s="9" t="n">
        <v>1</v>
      </c>
      <c r="I35" s="1" t="n">
        <v>20</v>
      </c>
      <c r="J35" s="1" t="n">
        <v>0</v>
      </c>
    </row>
    <row r="36" customFormat="false" ht="13.8" hidden="false" customHeight="false" outlineLevel="0" collapsed="false">
      <c r="A36" s="4" t="s">
        <v>18</v>
      </c>
      <c r="B36" s="1" t="s">
        <v>54</v>
      </c>
      <c r="C36" s="8" t="s">
        <v>47</v>
      </c>
      <c r="D36" s="8" t="s">
        <v>10</v>
      </c>
      <c r="E36" s="9" t="n">
        <v>2</v>
      </c>
      <c r="F36" s="10" t="n">
        <v>43894</v>
      </c>
      <c r="G36" s="9" t="s">
        <v>11</v>
      </c>
      <c r="H36" s="9" t="n">
        <v>2</v>
      </c>
      <c r="I36" s="1" t="n">
        <v>20</v>
      </c>
      <c r="J36" s="1" t="n">
        <v>0</v>
      </c>
    </row>
    <row r="37" customFormat="false" ht="13.8" hidden="false" customHeight="false" outlineLevel="0" collapsed="false">
      <c r="A37" s="4" t="s">
        <v>18</v>
      </c>
      <c r="B37" s="1" t="s">
        <v>55</v>
      </c>
      <c r="C37" s="8" t="s">
        <v>47</v>
      </c>
      <c r="D37" s="8" t="s">
        <v>10</v>
      </c>
      <c r="E37" s="9" t="n">
        <v>2</v>
      </c>
      <c r="F37" s="10" t="n">
        <v>43894</v>
      </c>
      <c r="G37" s="9" t="s">
        <v>11</v>
      </c>
      <c r="H37" s="9" t="n">
        <v>3</v>
      </c>
      <c r="I37" s="1" t="n">
        <v>20</v>
      </c>
      <c r="J37" s="1" t="n">
        <v>0</v>
      </c>
    </row>
    <row r="38" customFormat="false" ht="13.8" hidden="false" customHeight="false" outlineLevel="0" collapsed="false">
      <c r="A38" s="4" t="s">
        <v>22</v>
      </c>
      <c r="B38" s="1" t="s">
        <v>56</v>
      </c>
      <c r="C38" s="8" t="s">
        <v>47</v>
      </c>
      <c r="D38" s="8" t="s">
        <v>10</v>
      </c>
      <c r="E38" s="9" t="n">
        <v>2</v>
      </c>
      <c r="F38" s="10" t="n">
        <v>43894</v>
      </c>
      <c r="G38" s="9" t="s">
        <v>11</v>
      </c>
      <c r="H38" s="9" t="n">
        <v>1</v>
      </c>
      <c r="I38" s="1" t="n">
        <v>20</v>
      </c>
      <c r="J38" s="1" t="n">
        <v>0</v>
      </c>
    </row>
    <row r="39" customFormat="false" ht="13.8" hidden="false" customHeight="false" outlineLevel="0" collapsed="false">
      <c r="A39" s="4" t="s">
        <v>22</v>
      </c>
      <c r="B39" s="1" t="s">
        <v>57</v>
      </c>
      <c r="C39" s="8" t="s">
        <v>47</v>
      </c>
      <c r="D39" s="8" t="s">
        <v>10</v>
      </c>
      <c r="E39" s="9" t="n">
        <v>2</v>
      </c>
      <c r="F39" s="10" t="n">
        <v>43894</v>
      </c>
      <c r="G39" s="9" t="s">
        <v>11</v>
      </c>
      <c r="H39" s="9" t="n">
        <v>2</v>
      </c>
      <c r="I39" s="1" t="n">
        <v>20</v>
      </c>
      <c r="J39" s="1" t="n">
        <v>0</v>
      </c>
    </row>
    <row r="40" customFormat="false" ht="13.8" hidden="false" customHeight="false" outlineLevel="0" collapsed="false">
      <c r="A40" s="4" t="s">
        <v>22</v>
      </c>
      <c r="B40" s="1" t="s">
        <v>58</v>
      </c>
      <c r="C40" s="8" t="s">
        <v>47</v>
      </c>
      <c r="D40" s="8" t="s">
        <v>10</v>
      </c>
      <c r="E40" s="9" t="n">
        <v>2</v>
      </c>
      <c r="F40" s="10" t="n">
        <v>43894</v>
      </c>
      <c r="G40" s="9" t="s">
        <v>11</v>
      </c>
      <c r="H40" s="9" t="n">
        <v>3</v>
      </c>
      <c r="I40" s="1" t="n">
        <v>20</v>
      </c>
      <c r="J40" s="1" t="n">
        <v>0</v>
      </c>
    </row>
    <row r="41" customFormat="false" ht="13.8" hidden="false" customHeight="false" outlineLevel="0" collapsed="false">
      <c r="A41" s="4" t="s">
        <v>26</v>
      </c>
      <c r="B41" s="1" t="s">
        <v>59</v>
      </c>
      <c r="C41" s="8" t="s">
        <v>47</v>
      </c>
      <c r="D41" s="8" t="s">
        <v>10</v>
      </c>
      <c r="E41" s="9" t="n">
        <v>2</v>
      </c>
      <c r="F41" s="10" t="n">
        <v>43895</v>
      </c>
      <c r="G41" s="9" t="s">
        <v>11</v>
      </c>
      <c r="H41" s="9" t="n">
        <v>1</v>
      </c>
      <c r="I41" s="1" t="n">
        <v>20</v>
      </c>
      <c r="J41" s="1" t="n">
        <v>0</v>
      </c>
    </row>
    <row r="42" customFormat="false" ht="13.8" hidden="false" customHeight="false" outlineLevel="0" collapsed="false">
      <c r="A42" s="4" t="s">
        <v>26</v>
      </c>
      <c r="B42" s="1" t="s">
        <v>60</v>
      </c>
      <c r="C42" s="8" t="s">
        <v>47</v>
      </c>
      <c r="D42" s="8" t="s">
        <v>10</v>
      </c>
      <c r="E42" s="9" t="n">
        <v>2</v>
      </c>
      <c r="F42" s="10" t="n">
        <v>43895</v>
      </c>
      <c r="G42" s="9" t="s">
        <v>11</v>
      </c>
      <c r="H42" s="9" t="n">
        <v>2</v>
      </c>
      <c r="I42" s="1" t="n">
        <v>20</v>
      </c>
      <c r="J42" s="1" t="n">
        <v>0</v>
      </c>
    </row>
    <row r="43" customFormat="false" ht="13.8" hidden="false" customHeight="false" outlineLevel="0" collapsed="false">
      <c r="A43" s="4" t="s">
        <v>26</v>
      </c>
      <c r="B43" s="1" t="s">
        <v>61</v>
      </c>
      <c r="C43" s="8" t="s">
        <v>47</v>
      </c>
      <c r="D43" s="8" t="s">
        <v>10</v>
      </c>
      <c r="E43" s="9" t="n">
        <v>2</v>
      </c>
      <c r="F43" s="10" t="n">
        <v>43895</v>
      </c>
      <c r="G43" s="9" t="s">
        <v>11</v>
      </c>
      <c r="H43" s="9" t="n">
        <v>3</v>
      </c>
      <c r="I43" s="1" t="n">
        <v>20</v>
      </c>
      <c r="J43" s="1" t="n">
        <v>0</v>
      </c>
    </row>
    <row r="44" customFormat="false" ht="13.8" hidden="false" customHeight="false" outlineLevel="0" collapsed="false">
      <c r="A44" s="4" t="s">
        <v>30</v>
      </c>
      <c r="B44" s="1" t="s">
        <v>62</v>
      </c>
      <c r="C44" s="8" t="s">
        <v>47</v>
      </c>
      <c r="D44" s="8" t="s">
        <v>10</v>
      </c>
      <c r="E44" s="9" t="n">
        <v>2</v>
      </c>
      <c r="F44" s="10" t="n">
        <v>43895</v>
      </c>
      <c r="G44" s="9" t="s">
        <v>11</v>
      </c>
      <c r="H44" s="9" t="n">
        <v>1</v>
      </c>
      <c r="I44" s="1" t="n">
        <v>20</v>
      </c>
      <c r="J44" s="1" t="n">
        <v>0</v>
      </c>
    </row>
    <row r="45" customFormat="false" ht="13.8" hidden="false" customHeight="false" outlineLevel="0" collapsed="false">
      <c r="A45" s="4" t="s">
        <v>30</v>
      </c>
      <c r="B45" s="1" t="s">
        <v>63</v>
      </c>
      <c r="C45" s="8" t="s">
        <v>47</v>
      </c>
      <c r="D45" s="8" t="s">
        <v>10</v>
      </c>
      <c r="E45" s="9" t="n">
        <v>2</v>
      </c>
      <c r="F45" s="10" t="n">
        <v>43895</v>
      </c>
      <c r="G45" s="9" t="s">
        <v>11</v>
      </c>
      <c r="H45" s="9" t="n">
        <v>2</v>
      </c>
      <c r="I45" s="1" t="n">
        <v>20</v>
      </c>
      <c r="J45" s="1" t="n">
        <v>0</v>
      </c>
    </row>
    <row r="46" customFormat="false" ht="13.8" hidden="false" customHeight="false" outlineLevel="0" collapsed="false">
      <c r="A46" s="4" t="s">
        <v>30</v>
      </c>
      <c r="B46" s="1" t="s">
        <v>64</v>
      </c>
      <c r="C46" s="8" t="s">
        <v>47</v>
      </c>
      <c r="D46" s="8" t="s">
        <v>10</v>
      </c>
      <c r="E46" s="9" t="n">
        <v>2</v>
      </c>
      <c r="F46" s="10" t="n">
        <v>43895</v>
      </c>
      <c r="G46" s="9" t="s">
        <v>11</v>
      </c>
      <c r="H46" s="9" t="n">
        <v>3</v>
      </c>
      <c r="I46" s="1" t="n">
        <v>20</v>
      </c>
      <c r="J46" s="1" t="n">
        <v>0</v>
      </c>
    </row>
    <row r="47" customFormat="false" ht="13.8" hidden="false" customHeight="false" outlineLevel="0" collapsed="false">
      <c r="A47" s="4" t="s">
        <v>34</v>
      </c>
      <c r="B47" s="1" t="s">
        <v>65</v>
      </c>
      <c r="C47" s="8" t="s">
        <v>47</v>
      </c>
      <c r="D47" s="8" t="s">
        <v>10</v>
      </c>
      <c r="E47" s="9" t="n">
        <v>2</v>
      </c>
      <c r="F47" s="10" t="n">
        <v>43896</v>
      </c>
      <c r="G47" s="9" t="s">
        <v>11</v>
      </c>
      <c r="H47" s="9" t="n">
        <v>1</v>
      </c>
      <c r="I47" s="1" t="n">
        <v>20</v>
      </c>
      <c r="J47" s="1" t="n">
        <v>0</v>
      </c>
    </row>
    <row r="48" customFormat="false" ht="13.8" hidden="false" customHeight="false" outlineLevel="0" collapsed="false">
      <c r="A48" s="4" t="s">
        <v>34</v>
      </c>
      <c r="B48" s="1" t="s">
        <v>66</v>
      </c>
      <c r="C48" s="8" t="s">
        <v>47</v>
      </c>
      <c r="D48" s="8" t="s">
        <v>10</v>
      </c>
      <c r="E48" s="9" t="n">
        <v>2</v>
      </c>
      <c r="F48" s="10" t="n">
        <v>43896</v>
      </c>
      <c r="G48" s="9" t="s">
        <v>11</v>
      </c>
      <c r="H48" s="9" t="n">
        <v>2</v>
      </c>
      <c r="I48" s="1" t="n">
        <v>20</v>
      </c>
      <c r="J48" s="1" t="n">
        <v>0</v>
      </c>
    </row>
    <row r="49" customFormat="false" ht="13.8" hidden="false" customHeight="false" outlineLevel="0" collapsed="false">
      <c r="A49" s="4" t="s">
        <v>34</v>
      </c>
      <c r="B49" s="1" t="s">
        <v>67</v>
      </c>
      <c r="C49" s="8" t="s">
        <v>47</v>
      </c>
      <c r="D49" s="8" t="s">
        <v>10</v>
      </c>
      <c r="E49" s="9" t="n">
        <v>2</v>
      </c>
      <c r="F49" s="10" t="n">
        <v>43896</v>
      </c>
      <c r="G49" s="9" t="s">
        <v>11</v>
      </c>
      <c r="H49" s="9" t="n">
        <v>3</v>
      </c>
      <c r="I49" s="1" t="n">
        <v>20</v>
      </c>
      <c r="J49" s="1" t="n">
        <v>0</v>
      </c>
    </row>
    <row r="50" customFormat="false" ht="13.8" hidden="false" customHeight="false" outlineLevel="0" collapsed="false">
      <c r="A50" s="4" t="s">
        <v>38</v>
      </c>
      <c r="B50" s="1" t="s">
        <v>68</v>
      </c>
      <c r="C50" s="8" t="s">
        <v>47</v>
      </c>
      <c r="D50" s="8" t="s">
        <v>10</v>
      </c>
      <c r="E50" s="9" t="n">
        <v>2</v>
      </c>
      <c r="F50" s="10" t="n">
        <v>43896</v>
      </c>
      <c r="G50" s="9" t="s">
        <v>11</v>
      </c>
      <c r="H50" s="9" t="n">
        <v>1</v>
      </c>
      <c r="I50" s="1" t="n">
        <v>20</v>
      </c>
      <c r="J50" s="1" t="n">
        <v>0</v>
      </c>
    </row>
    <row r="51" customFormat="false" ht="13.8" hidden="false" customHeight="false" outlineLevel="0" collapsed="false">
      <c r="A51" s="4" t="s">
        <v>38</v>
      </c>
      <c r="B51" s="1" t="s">
        <v>69</v>
      </c>
      <c r="C51" s="8" t="s">
        <v>47</v>
      </c>
      <c r="D51" s="8" t="s">
        <v>10</v>
      </c>
      <c r="E51" s="9" t="n">
        <v>2</v>
      </c>
      <c r="F51" s="10" t="n">
        <v>43896</v>
      </c>
      <c r="G51" s="9" t="s">
        <v>11</v>
      </c>
      <c r="H51" s="9" t="n">
        <v>2</v>
      </c>
      <c r="I51" s="1" t="n">
        <v>20</v>
      </c>
      <c r="J51" s="1" t="n">
        <v>0</v>
      </c>
    </row>
    <row r="52" customFormat="false" ht="13.8" hidden="false" customHeight="false" outlineLevel="0" collapsed="false">
      <c r="A52" s="4" t="s">
        <v>38</v>
      </c>
      <c r="B52" s="1" t="s">
        <v>70</v>
      </c>
      <c r="C52" s="8" t="s">
        <v>47</v>
      </c>
      <c r="D52" s="8" t="s">
        <v>10</v>
      </c>
      <c r="E52" s="9" t="n">
        <v>2</v>
      </c>
      <c r="F52" s="10" t="n">
        <v>43896</v>
      </c>
      <c r="G52" s="9" t="s">
        <v>11</v>
      </c>
      <c r="H52" s="9" t="n">
        <v>3</v>
      </c>
      <c r="I52" s="1" t="n">
        <v>20</v>
      </c>
      <c r="J52" s="1" t="n">
        <v>0</v>
      </c>
    </row>
    <row r="53" customFormat="false" ht="13.8" hidden="false" customHeight="false" outlineLevel="0" collapsed="false">
      <c r="A53" s="4" t="s">
        <v>42</v>
      </c>
      <c r="B53" s="1" t="s">
        <v>71</v>
      </c>
      <c r="C53" s="8" t="s">
        <v>47</v>
      </c>
      <c r="D53" s="8" t="s">
        <v>10</v>
      </c>
      <c r="E53" s="9" t="n">
        <v>2</v>
      </c>
      <c r="F53" s="10" t="n">
        <v>43896</v>
      </c>
      <c r="G53" s="9" t="s">
        <v>11</v>
      </c>
      <c r="H53" s="9" t="n">
        <v>1</v>
      </c>
      <c r="I53" s="1" t="n">
        <v>20</v>
      </c>
      <c r="J53" s="1" t="n">
        <v>0</v>
      </c>
    </row>
    <row r="54" customFormat="false" ht="13.8" hidden="false" customHeight="false" outlineLevel="0" collapsed="false">
      <c r="A54" s="4" t="s">
        <v>42</v>
      </c>
      <c r="B54" s="1" t="s">
        <v>72</v>
      </c>
      <c r="C54" s="8" t="s">
        <v>47</v>
      </c>
      <c r="D54" s="8" t="s">
        <v>10</v>
      </c>
      <c r="E54" s="9" t="n">
        <v>2</v>
      </c>
      <c r="F54" s="10" t="n">
        <v>43896</v>
      </c>
      <c r="G54" s="9" t="s">
        <v>11</v>
      </c>
      <c r="H54" s="9" t="n">
        <v>2</v>
      </c>
      <c r="I54" s="1" t="n">
        <v>20</v>
      </c>
      <c r="J54" s="1" t="n">
        <v>0</v>
      </c>
    </row>
    <row r="55" customFormat="false" ht="13.8" hidden="false" customHeight="false" outlineLevel="0" collapsed="false">
      <c r="A55" s="4" t="s">
        <v>42</v>
      </c>
      <c r="B55" s="1" t="s">
        <v>73</v>
      </c>
      <c r="C55" s="8" t="s">
        <v>47</v>
      </c>
      <c r="D55" s="8" t="s">
        <v>10</v>
      </c>
      <c r="E55" s="9" t="n">
        <v>2</v>
      </c>
      <c r="F55" s="10" t="n">
        <v>43896</v>
      </c>
      <c r="G55" s="9" t="s">
        <v>11</v>
      </c>
      <c r="H55" s="9" t="n">
        <v>3</v>
      </c>
      <c r="I55" s="1" t="n">
        <v>20</v>
      </c>
      <c r="J55" s="1" t="n">
        <v>0</v>
      </c>
    </row>
    <row r="56" customFormat="false" ht="13.8" hidden="false" customHeight="false" outlineLevel="0" collapsed="false">
      <c r="A56" s="4" t="s">
        <v>7</v>
      </c>
      <c r="B56" s="1" t="s">
        <v>74</v>
      </c>
      <c r="C56" s="8" t="s">
        <v>9</v>
      </c>
      <c r="D56" s="8" t="s">
        <v>75</v>
      </c>
      <c r="E56" s="9" t="n">
        <v>3</v>
      </c>
      <c r="F56" s="10" t="n">
        <v>44501</v>
      </c>
      <c r="G56" s="9" t="s">
        <v>11</v>
      </c>
      <c r="H56" s="9" t="n">
        <v>1</v>
      </c>
      <c r="I56" s="1" t="n">
        <v>20</v>
      </c>
      <c r="J56" s="1" t="n">
        <v>0</v>
      </c>
    </row>
    <row r="57" customFormat="false" ht="13.8" hidden="false" customHeight="false" outlineLevel="0" collapsed="false">
      <c r="A57" s="4" t="s">
        <v>7</v>
      </c>
      <c r="B57" s="1" t="s">
        <v>76</v>
      </c>
      <c r="C57" s="8" t="s">
        <v>9</v>
      </c>
      <c r="D57" s="8" t="s">
        <v>75</v>
      </c>
      <c r="E57" s="9" t="n">
        <v>3</v>
      </c>
      <c r="F57" s="10" t="n">
        <v>44501</v>
      </c>
      <c r="G57" s="9" t="s">
        <v>11</v>
      </c>
      <c r="H57" s="9" t="n">
        <v>2</v>
      </c>
      <c r="I57" s="1" t="n">
        <v>20</v>
      </c>
      <c r="J57" s="1" t="n">
        <v>0</v>
      </c>
    </row>
    <row r="58" customFormat="false" ht="13.8" hidden="false" customHeight="false" outlineLevel="0" collapsed="false">
      <c r="A58" s="4" t="s">
        <v>7</v>
      </c>
      <c r="B58" s="1" t="s">
        <v>77</v>
      </c>
      <c r="C58" s="8" t="s">
        <v>9</v>
      </c>
      <c r="D58" s="8" t="s">
        <v>75</v>
      </c>
      <c r="E58" s="9" t="n">
        <v>3</v>
      </c>
      <c r="F58" s="10" t="n">
        <v>44501</v>
      </c>
      <c r="G58" s="9" t="s">
        <v>11</v>
      </c>
      <c r="H58" s="9" t="n">
        <v>3</v>
      </c>
      <c r="I58" s="1" t="n">
        <v>20</v>
      </c>
      <c r="J58" s="1" t="n">
        <v>0</v>
      </c>
    </row>
    <row r="59" customFormat="false" ht="13.8" hidden="false" customHeight="false" outlineLevel="0" collapsed="false">
      <c r="A59" s="4" t="s">
        <v>14</v>
      </c>
      <c r="B59" s="1" t="s">
        <v>78</v>
      </c>
      <c r="C59" s="8" t="s">
        <v>9</v>
      </c>
      <c r="D59" s="8" t="s">
        <v>75</v>
      </c>
      <c r="E59" s="9" t="n">
        <v>3</v>
      </c>
      <c r="F59" s="10" t="n">
        <v>44502</v>
      </c>
      <c r="G59" s="9" t="s">
        <v>11</v>
      </c>
      <c r="H59" s="9" t="n">
        <v>1</v>
      </c>
      <c r="I59" s="1" t="n">
        <v>20</v>
      </c>
      <c r="J59" s="1" t="n">
        <v>0</v>
      </c>
    </row>
    <row r="60" customFormat="false" ht="13.8" hidden="false" customHeight="false" outlineLevel="0" collapsed="false">
      <c r="A60" s="4" t="s">
        <v>14</v>
      </c>
      <c r="B60" s="1" t="s">
        <v>79</v>
      </c>
      <c r="C60" s="8" t="s">
        <v>9</v>
      </c>
      <c r="D60" s="8" t="s">
        <v>75</v>
      </c>
      <c r="E60" s="9" t="n">
        <v>3</v>
      </c>
      <c r="F60" s="10" t="n">
        <v>44502</v>
      </c>
      <c r="G60" s="9" t="s">
        <v>11</v>
      </c>
      <c r="H60" s="9" t="n">
        <v>2</v>
      </c>
      <c r="I60" s="1" t="n">
        <v>20</v>
      </c>
      <c r="J60" s="1" t="n">
        <v>0</v>
      </c>
    </row>
    <row r="61" customFormat="false" ht="13.8" hidden="false" customHeight="false" outlineLevel="0" collapsed="false">
      <c r="A61" s="4" t="s">
        <v>14</v>
      </c>
      <c r="B61" s="1" t="s">
        <v>80</v>
      </c>
      <c r="C61" s="8" t="s">
        <v>9</v>
      </c>
      <c r="D61" s="8" t="s">
        <v>75</v>
      </c>
      <c r="E61" s="9" t="n">
        <v>3</v>
      </c>
      <c r="F61" s="10" t="n">
        <v>44502</v>
      </c>
      <c r="G61" s="9" t="s">
        <v>11</v>
      </c>
      <c r="H61" s="9" t="n">
        <v>3</v>
      </c>
      <c r="I61" s="1" t="n">
        <v>20</v>
      </c>
      <c r="J61" s="1" t="n">
        <v>0</v>
      </c>
    </row>
    <row r="62" customFormat="false" ht="13.8" hidden="false" customHeight="false" outlineLevel="0" collapsed="false">
      <c r="A62" s="4" t="s">
        <v>18</v>
      </c>
      <c r="B62" s="1" t="s">
        <v>81</v>
      </c>
      <c r="C62" s="8" t="s">
        <v>9</v>
      </c>
      <c r="D62" s="8" t="s">
        <v>75</v>
      </c>
      <c r="E62" s="9" t="n">
        <v>3</v>
      </c>
      <c r="F62" s="10" t="n">
        <v>44502</v>
      </c>
      <c r="G62" s="9" t="s">
        <v>11</v>
      </c>
      <c r="H62" s="9" t="n">
        <v>1</v>
      </c>
      <c r="I62" s="1" t="n">
        <v>20</v>
      </c>
      <c r="J62" s="1" t="n">
        <v>0</v>
      </c>
    </row>
    <row r="63" customFormat="false" ht="13.8" hidden="false" customHeight="false" outlineLevel="0" collapsed="false">
      <c r="A63" s="4" t="s">
        <v>18</v>
      </c>
      <c r="B63" s="1" t="s">
        <v>82</v>
      </c>
      <c r="C63" s="8" t="s">
        <v>9</v>
      </c>
      <c r="D63" s="8" t="s">
        <v>75</v>
      </c>
      <c r="E63" s="9" t="n">
        <v>3</v>
      </c>
      <c r="F63" s="10" t="n">
        <v>44502</v>
      </c>
      <c r="G63" s="9" t="s">
        <v>11</v>
      </c>
      <c r="H63" s="9" t="n">
        <v>2</v>
      </c>
      <c r="I63" s="1" t="n">
        <v>20</v>
      </c>
      <c r="J63" s="1" t="n">
        <v>0</v>
      </c>
    </row>
    <row r="64" customFormat="false" ht="13.8" hidden="false" customHeight="false" outlineLevel="0" collapsed="false">
      <c r="A64" s="4" t="s">
        <v>18</v>
      </c>
      <c r="B64" s="1" t="s">
        <v>83</v>
      </c>
      <c r="C64" s="8" t="s">
        <v>9</v>
      </c>
      <c r="D64" s="8" t="s">
        <v>75</v>
      </c>
      <c r="E64" s="9" t="n">
        <v>3</v>
      </c>
      <c r="F64" s="10" t="n">
        <v>44502</v>
      </c>
      <c r="G64" s="9" t="s">
        <v>11</v>
      </c>
      <c r="H64" s="9" t="n">
        <v>3</v>
      </c>
      <c r="I64" s="1" t="n">
        <v>20</v>
      </c>
      <c r="J64" s="1" t="n">
        <v>0</v>
      </c>
    </row>
    <row r="65" customFormat="false" ht="13.8" hidden="false" customHeight="false" outlineLevel="0" collapsed="false">
      <c r="A65" s="4" t="s">
        <v>22</v>
      </c>
      <c r="B65" s="1" t="s">
        <v>84</v>
      </c>
      <c r="C65" s="8" t="s">
        <v>9</v>
      </c>
      <c r="D65" s="8" t="s">
        <v>75</v>
      </c>
      <c r="E65" s="9" t="n">
        <v>3</v>
      </c>
      <c r="F65" s="10" t="n">
        <v>44503</v>
      </c>
      <c r="G65" s="9" t="s">
        <v>11</v>
      </c>
      <c r="H65" s="9" t="n">
        <v>1</v>
      </c>
      <c r="I65" s="1" t="n">
        <v>20</v>
      </c>
      <c r="J65" s="1" t="n">
        <v>0</v>
      </c>
    </row>
    <row r="66" customFormat="false" ht="13.8" hidden="false" customHeight="false" outlineLevel="0" collapsed="false">
      <c r="A66" s="4" t="s">
        <v>22</v>
      </c>
      <c r="B66" s="1" t="s">
        <v>85</v>
      </c>
      <c r="C66" s="8" t="s">
        <v>9</v>
      </c>
      <c r="D66" s="8" t="s">
        <v>75</v>
      </c>
      <c r="E66" s="9" t="n">
        <v>3</v>
      </c>
      <c r="F66" s="10" t="n">
        <v>44503</v>
      </c>
      <c r="G66" s="9" t="s">
        <v>11</v>
      </c>
      <c r="H66" s="9" t="n">
        <v>2</v>
      </c>
      <c r="I66" s="1" t="n">
        <v>20</v>
      </c>
      <c r="J66" s="1" t="n">
        <v>0</v>
      </c>
    </row>
    <row r="67" customFormat="false" ht="13.8" hidden="false" customHeight="false" outlineLevel="0" collapsed="false">
      <c r="A67" s="4" t="s">
        <v>22</v>
      </c>
      <c r="B67" s="1" t="s">
        <v>86</v>
      </c>
      <c r="C67" s="8" t="s">
        <v>9</v>
      </c>
      <c r="D67" s="8" t="s">
        <v>75</v>
      </c>
      <c r="E67" s="9" t="n">
        <v>3</v>
      </c>
      <c r="F67" s="10" t="n">
        <v>44503</v>
      </c>
      <c r="G67" s="9" t="s">
        <v>11</v>
      </c>
      <c r="H67" s="9" t="n">
        <v>3</v>
      </c>
      <c r="I67" s="1" t="n">
        <v>20</v>
      </c>
      <c r="J67" s="1" t="n">
        <v>0</v>
      </c>
    </row>
    <row r="68" customFormat="false" ht="13.8" hidden="false" customHeight="false" outlineLevel="0" collapsed="false">
      <c r="A68" s="4" t="s">
        <v>26</v>
      </c>
      <c r="B68" s="1" t="s">
        <v>87</v>
      </c>
      <c r="C68" s="8" t="s">
        <v>9</v>
      </c>
      <c r="D68" s="8" t="s">
        <v>75</v>
      </c>
      <c r="E68" s="9" t="n">
        <v>3</v>
      </c>
      <c r="F68" s="10" t="n">
        <v>44503</v>
      </c>
      <c r="G68" s="9" t="s">
        <v>11</v>
      </c>
      <c r="H68" s="9" t="n">
        <v>1</v>
      </c>
      <c r="I68" s="1" t="n">
        <v>20</v>
      </c>
      <c r="J68" s="1" t="n">
        <v>0</v>
      </c>
    </row>
    <row r="69" customFormat="false" ht="13.8" hidden="false" customHeight="false" outlineLevel="0" collapsed="false">
      <c r="A69" s="4" t="s">
        <v>26</v>
      </c>
      <c r="B69" s="1" t="s">
        <v>88</v>
      </c>
      <c r="C69" s="8" t="s">
        <v>9</v>
      </c>
      <c r="D69" s="8" t="s">
        <v>75</v>
      </c>
      <c r="E69" s="9" t="n">
        <v>3</v>
      </c>
      <c r="F69" s="10" t="n">
        <v>44503</v>
      </c>
      <c r="G69" s="9" t="s">
        <v>11</v>
      </c>
      <c r="H69" s="9" t="n">
        <v>2</v>
      </c>
      <c r="I69" s="1" t="n">
        <v>20</v>
      </c>
      <c r="J69" s="1" t="n">
        <v>0</v>
      </c>
    </row>
    <row r="70" customFormat="false" ht="13.8" hidden="false" customHeight="false" outlineLevel="0" collapsed="false">
      <c r="A70" s="4" t="s">
        <v>26</v>
      </c>
      <c r="B70" s="1" t="s">
        <v>89</v>
      </c>
      <c r="C70" s="8" t="s">
        <v>9</v>
      </c>
      <c r="D70" s="8" t="s">
        <v>75</v>
      </c>
      <c r="E70" s="9" t="n">
        <v>3</v>
      </c>
      <c r="F70" s="10" t="n">
        <v>44503</v>
      </c>
      <c r="G70" s="9" t="s">
        <v>11</v>
      </c>
      <c r="H70" s="9" t="n">
        <v>3</v>
      </c>
      <c r="I70" s="1" t="n">
        <v>20</v>
      </c>
      <c r="J70" s="1" t="n">
        <v>0</v>
      </c>
    </row>
    <row r="71" customFormat="false" ht="13.8" hidden="false" customHeight="false" outlineLevel="0" collapsed="false">
      <c r="A71" s="4" t="s">
        <v>30</v>
      </c>
      <c r="B71" s="1" t="s">
        <v>90</v>
      </c>
      <c r="C71" s="8" t="s">
        <v>9</v>
      </c>
      <c r="D71" s="8" t="s">
        <v>75</v>
      </c>
      <c r="E71" s="9" t="n">
        <v>3</v>
      </c>
      <c r="F71" s="10" t="n">
        <v>44504</v>
      </c>
      <c r="G71" s="9" t="s">
        <v>11</v>
      </c>
      <c r="H71" s="9" t="n">
        <v>1</v>
      </c>
      <c r="I71" s="1" t="n">
        <v>20</v>
      </c>
      <c r="J71" s="1" t="n">
        <v>0</v>
      </c>
    </row>
    <row r="72" customFormat="false" ht="13.8" hidden="false" customHeight="false" outlineLevel="0" collapsed="false">
      <c r="A72" s="4" t="s">
        <v>30</v>
      </c>
      <c r="B72" s="1" t="s">
        <v>91</v>
      </c>
      <c r="C72" s="8" t="s">
        <v>9</v>
      </c>
      <c r="D72" s="8" t="s">
        <v>75</v>
      </c>
      <c r="E72" s="9" t="n">
        <v>3</v>
      </c>
      <c r="F72" s="10" t="n">
        <v>44504</v>
      </c>
      <c r="G72" s="9" t="s">
        <v>11</v>
      </c>
      <c r="H72" s="9" t="n">
        <v>2</v>
      </c>
      <c r="I72" s="1" t="n">
        <v>20</v>
      </c>
      <c r="J72" s="1" t="n">
        <v>0</v>
      </c>
    </row>
    <row r="73" customFormat="false" ht="13.8" hidden="false" customHeight="false" outlineLevel="0" collapsed="false">
      <c r="A73" s="4" t="s">
        <v>30</v>
      </c>
      <c r="B73" s="1" t="s">
        <v>92</v>
      </c>
      <c r="C73" s="8" t="s">
        <v>9</v>
      </c>
      <c r="D73" s="8" t="s">
        <v>75</v>
      </c>
      <c r="E73" s="9" t="n">
        <v>3</v>
      </c>
      <c r="F73" s="10" t="n">
        <v>44504</v>
      </c>
      <c r="G73" s="9" t="s">
        <v>11</v>
      </c>
      <c r="H73" s="9" t="n">
        <v>3</v>
      </c>
      <c r="I73" s="1" t="n">
        <v>20</v>
      </c>
      <c r="J73" s="1" t="n">
        <v>0</v>
      </c>
    </row>
    <row r="74" customFormat="false" ht="13.8" hidden="false" customHeight="false" outlineLevel="0" collapsed="false">
      <c r="A74" s="4" t="s">
        <v>34</v>
      </c>
      <c r="B74" s="1" t="s">
        <v>93</v>
      </c>
      <c r="C74" s="8" t="s">
        <v>9</v>
      </c>
      <c r="D74" s="8" t="s">
        <v>75</v>
      </c>
      <c r="E74" s="9" t="n">
        <v>3</v>
      </c>
      <c r="F74" s="10" t="n">
        <v>44504</v>
      </c>
      <c r="G74" s="9" t="s">
        <v>11</v>
      </c>
      <c r="H74" s="9" t="n">
        <v>1</v>
      </c>
      <c r="I74" s="1" t="n">
        <v>20</v>
      </c>
      <c r="J74" s="1" t="n">
        <v>0</v>
      </c>
    </row>
    <row r="75" customFormat="false" ht="13.8" hidden="false" customHeight="false" outlineLevel="0" collapsed="false">
      <c r="A75" s="4" t="s">
        <v>34</v>
      </c>
      <c r="B75" s="1" t="s">
        <v>94</v>
      </c>
      <c r="C75" s="8" t="s">
        <v>9</v>
      </c>
      <c r="D75" s="8" t="s">
        <v>75</v>
      </c>
      <c r="E75" s="9" t="n">
        <v>3</v>
      </c>
      <c r="F75" s="10" t="n">
        <v>44504</v>
      </c>
      <c r="G75" s="9" t="s">
        <v>11</v>
      </c>
      <c r="H75" s="9" t="n">
        <v>2</v>
      </c>
      <c r="I75" s="1" t="n">
        <v>20</v>
      </c>
      <c r="J75" s="1" t="n">
        <v>0</v>
      </c>
    </row>
    <row r="76" customFormat="false" ht="13.8" hidden="false" customHeight="false" outlineLevel="0" collapsed="false">
      <c r="A76" s="4" t="s">
        <v>34</v>
      </c>
      <c r="B76" s="1" t="s">
        <v>95</v>
      </c>
      <c r="C76" s="8" t="s">
        <v>9</v>
      </c>
      <c r="D76" s="8" t="s">
        <v>75</v>
      </c>
      <c r="E76" s="9" t="n">
        <v>3</v>
      </c>
      <c r="F76" s="10" t="n">
        <v>44504</v>
      </c>
      <c r="G76" s="9" t="s">
        <v>11</v>
      </c>
      <c r="H76" s="9" t="n">
        <v>3</v>
      </c>
      <c r="I76" s="1" t="n">
        <v>20</v>
      </c>
      <c r="J76" s="1" t="n">
        <v>0</v>
      </c>
    </row>
    <row r="77" customFormat="false" ht="13.8" hidden="false" customHeight="false" outlineLevel="0" collapsed="false">
      <c r="A77" s="4" t="s">
        <v>38</v>
      </c>
      <c r="B77" s="1" t="s">
        <v>96</v>
      </c>
      <c r="C77" s="8" t="s">
        <v>9</v>
      </c>
      <c r="D77" s="8" t="s">
        <v>75</v>
      </c>
      <c r="E77" s="9" t="n">
        <v>3</v>
      </c>
      <c r="F77" s="10" t="n">
        <v>44504</v>
      </c>
      <c r="G77" s="9" t="s">
        <v>11</v>
      </c>
      <c r="H77" s="9" t="n">
        <v>1</v>
      </c>
      <c r="I77" s="1" t="n">
        <v>20</v>
      </c>
      <c r="J77" s="1" t="n">
        <v>0</v>
      </c>
    </row>
    <row r="78" customFormat="false" ht="13.8" hidden="false" customHeight="false" outlineLevel="0" collapsed="false">
      <c r="A78" s="4" t="s">
        <v>38</v>
      </c>
      <c r="B78" s="1" t="s">
        <v>97</v>
      </c>
      <c r="C78" s="8" t="s">
        <v>9</v>
      </c>
      <c r="D78" s="8" t="s">
        <v>75</v>
      </c>
      <c r="E78" s="9" t="n">
        <v>3</v>
      </c>
      <c r="F78" s="10" t="n">
        <v>44504</v>
      </c>
      <c r="G78" s="9" t="s">
        <v>11</v>
      </c>
      <c r="H78" s="9" t="n">
        <v>2</v>
      </c>
      <c r="I78" s="1" t="n">
        <v>20</v>
      </c>
      <c r="J78" s="1" t="n">
        <v>0</v>
      </c>
    </row>
    <row r="79" customFormat="false" ht="13.8" hidden="false" customHeight="false" outlineLevel="0" collapsed="false">
      <c r="A79" s="4" t="s">
        <v>38</v>
      </c>
      <c r="B79" s="1" t="s">
        <v>98</v>
      </c>
      <c r="C79" s="8" t="s">
        <v>9</v>
      </c>
      <c r="D79" s="8" t="s">
        <v>75</v>
      </c>
      <c r="E79" s="9" t="n">
        <v>3</v>
      </c>
      <c r="F79" s="10" t="n">
        <v>44504</v>
      </c>
      <c r="G79" s="9" t="s">
        <v>11</v>
      </c>
      <c r="H79" s="9" t="n">
        <v>3</v>
      </c>
      <c r="I79" s="1" t="n">
        <v>20</v>
      </c>
      <c r="J79" s="1" t="n">
        <v>0</v>
      </c>
    </row>
    <row r="80" customFormat="false" ht="13.8" hidden="false" customHeight="false" outlineLevel="0" collapsed="false">
      <c r="A80" s="4" t="s">
        <v>42</v>
      </c>
      <c r="B80" s="1" t="s">
        <v>99</v>
      </c>
      <c r="C80" s="8" t="s">
        <v>9</v>
      </c>
      <c r="D80" s="8" t="s">
        <v>75</v>
      </c>
      <c r="E80" s="9" t="n">
        <v>3</v>
      </c>
      <c r="F80" s="10" t="n">
        <v>44505</v>
      </c>
      <c r="G80" s="9" t="s">
        <v>11</v>
      </c>
      <c r="H80" s="9" t="n">
        <v>1</v>
      </c>
      <c r="I80" s="1" t="n">
        <v>20</v>
      </c>
      <c r="J80" s="1" t="n">
        <v>0</v>
      </c>
    </row>
    <row r="81" customFormat="false" ht="13.8" hidden="false" customHeight="false" outlineLevel="0" collapsed="false">
      <c r="A81" s="4" t="s">
        <v>42</v>
      </c>
      <c r="B81" s="1" t="s">
        <v>100</v>
      </c>
      <c r="C81" s="8" t="s">
        <v>9</v>
      </c>
      <c r="D81" s="8" t="s">
        <v>75</v>
      </c>
      <c r="E81" s="9" t="n">
        <v>3</v>
      </c>
      <c r="F81" s="10" t="n">
        <v>44505</v>
      </c>
      <c r="G81" s="9" t="s">
        <v>11</v>
      </c>
      <c r="H81" s="9" t="n">
        <v>2</v>
      </c>
      <c r="I81" s="1" t="n">
        <v>20</v>
      </c>
      <c r="J81" s="1" t="n">
        <v>0</v>
      </c>
    </row>
    <row r="82" customFormat="false" ht="13.8" hidden="false" customHeight="false" outlineLevel="0" collapsed="false">
      <c r="A82" s="4" t="s">
        <v>42</v>
      </c>
      <c r="B82" s="1" t="s">
        <v>101</v>
      </c>
      <c r="C82" s="8" t="s">
        <v>9</v>
      </c>
      <c r="D82" s="8" t="s">
        <v>75</v>
      </c>
      <c r="E82" s="9" t="n">
        <v>3</v>
      </c>
      <c r="F82" s="10" t="n">
        <v>44505</v>
      </c>
      <c r="G82" s="9" t="s">
        <v>11</v>
      </c>
      <c r="H82" s="9" t="n">
        <v>3</v>
      </c>
      <c r="I82" s="1" t="n">
        <v>20</v>
      </c>
      <c r="J82" s="1" t="n">
        <v>0</v>
      </c>
    </row>
    <row r="83" customFormat="false" ht="13.8" hidden="false" customHeight="false" outlineLevel="0" collapsed="false">
      <c r="A83" s="4" t="s">
        <v>7</v>
      </c>
      <c r="B83" s="1" t="s">
        <v>102</v>
      </c>
      <c r="C83" s="8" t="s">
        <v>47</v>
      </c>
      <c r="D83" s="8" t="s">
        <v>75</v>
      </c>
      <c r="E83" s="9" t="n">
        <v>4</v>
      </c>
      <c r="F83" s="10" t="n">
        <v>44683</v>
      </c>
      <c r="G83" s="9" t="s">
        <v>11</v>
      </c>
      <c r="H83" s="9" t="n">
        <v>1</v>
      </c>
      <c r="I83" s="1" t="n">
        <v>20</v>
      </c>
      <c r="J83" s="1" t="n">
        <v>0</v>
      </c>
    </row>
    <row r="84" customFormat="false" ht="13.8" hidden="false" customHeight="false" outlineLevel="0" collapsed="false">
      <c r="A84" s="4" t="s">
        <v>7</v>
      </c>
      <c r="B84" s="1" t="s">
        <v>103</v>
      </c>
      <c r="C84" s="8" t="s">
        <v>47</v>
      </c>
      <c r="D84" s="8" t="s">
        <v>75</v>
      </c>
      <c r="E84" s="9" t="n">
        <v>4</v>
      </c>
      <c r="F84" s="10" t="n">
        <v>44683</v>
      </c>
      <c r="G84" s="9" t="s">
        <v>11</v>
      </c>
      <c r="H84" s="9" t="n">
        <v>2</v>
      </c>
      <c r="I84" s="1" t="n">
        <v>20</v>
      </c>
      <c r="J84" s="1" t="n">
        <v>0</v>
      </c>
    </row>
    <row r="85" customFormat="false" ht="13.8" hidden="false" customHeight="false" outlineLevel="0" collapsed="false">
      <c r="A85" s="4" t="s">
        <v>7</v>
      </c>
      <c r="B85" s="1" t="s">
        <v>104</v>
      </c>
      <c r="C85" s="8" t="s">
        <v>47</v>
      </c>
      <c r="D85" s="8" t="s">
        <v>75</v>
      </c>
      <c r="E85" s="9" t="n">
        <v>4</v>
      </c>
      <c r="F85" s="10" t="n">
        <v>44683</v>
      </c>
      <c r="G85" s="9" t="s">
        <v>11</v>
      </c>
      <c r="H85" s="9" t="n">
        <v>3</v>
      </c>
      <c r="I85" s="1" t="n">
        <v>20</v>
      </c>
      <c r="J85" s="1" t="n">
        <v>0</v>
      </c>
    </row>
    <row r="86" customFormat="false" ht="13.8" hidden="false" customHeight="false" outlineLevel="0" collapsed="false">
      <c r="A86" s="4" t="s">
        <v>14</v>
      </c>
      <c r="B86" s="1" t="s">
        <v>105</v>
      </c>
      <c r="C86" s="8" t="s">
        <v>47</v>
      </c>
      <c r="D86" s="8" t="s">
        <v>75</v>
      </c>
      <c r="E86" s="9" t="n">
        <v>4</v>
      </c>
      <c r="F86" s="10" t="n">
        <v>44683</v>
      </c>
      <c r="G86" s="9" t="s">
        <v>11</v>
      </c>
      <c r="H86" s="9" t="n">
        <v>1</v>
      </c>
      <c r="I86" s="1" t="n">
        <v>20</v>
      </c>
      <c r="J86" s="1" t="n">
        <v>0</v>
      </c>
    </row>
    <row r="87" customFormat="false" ht="13.8" hidden="false" customHeight="false" outlineLevel="0" collapsed="false">
      <c r="A87" s="4" t="s">
        <v>14</v>
      </c>
      <c r="B87" s="1" t="s">
        <v>106</v>
      </c>
      <c r="C87" s="8" t="s">
        <v>47</v>
      </c>
      <c r="D87" s="8" t="s">
        <v>75</v>
      </c>
      <c r="E87" s="9" t="n">
        <v>4</v>
      </c>
      <c r="F87" s="10" t="n">
        <v>44683</v>
      </c>
      <c r="G87" s="9" t="s">
        <v>11</v>
      </c>
      <c r="H87" s="9" t="n">
        <v>2</v>
      </c>
      <c r="I87" s="1" t="n">
        <v>20</v>
      </c>
      <c r="J87" s="1" t="n">
        <v>0</v>
      </c>
    </row>
    <row r="88" customFormat="false" ht="13.8" hidden="false" customHeight="false" outlineLevel="0" collapsed="false">
      <c r="A88" s="4" t="s">
        <v>14</v>
      </c>
      <c r="B88" s="1" t="s">
        <v>107</v>
      </c>
      <c r="C88" s="8" t="s">
        <v>47</v>
      </c>
      <c r="D88" s="8" t="s">
        <v>75</v>
      </c>
      <c r="E88" s="9" t="n">
        <v>4</v>
      </c>
      <c r="F88" s="10" t="n">
        <v>44683</v>
      </c>
      <c r="G88" s="9" t="s">
        <v>11</v>
      </c>
      <c r="H88" s="9" t="n">
        <v>3</v>
      </c>
      <c r="I88" s="1" t="n">
        <v>20</v>
      </c>
      <c r="J88" s="1" t="n">
        <v>0</v>
      </c>
    </row>
    <row r="89" customFormat="false" ht="13.8" hidden="false" customHeight="false" outlineLevel="0" collapsed="false">
      <c r="A89" s="4" t="s">
        <v>18</v>
      </c>
      <c r="B89" s="1" t="s">
        <v>108</v>
      </c>
      <c r="C89" s="8" t="s">
        <v>47</v>
      </c>
      <c r="D89" s="8" t="s">
        <v>75</v>
      </c>
      <c r="E89" s="9" t="n">
        <v>4</v>
      </c>
      <c r="F89" s="10" t="n">
        <v>44684</v>
      </c>
      <c r="G89" s="9" t="s">
        <v>11</v>
      </c>
      <c r="H89" s="9" t="n">
        <v>1</v>
      </c>
      <c r="I89" s="1" t="n">
        <v>20</v>
      </c>
      <c r="J89" s="1" t="n">
        <v>0</v>
      </c>
    </row>
    <row r="90" customFormat="false" ht="13.8" hidden="false" customHeight="false" outlineLevel="0" collapsed="false">
      <c r="A90" s="4" t="s">
        <v>18</v>
      </c>
      <c r="B90" s="1" t="s">
        <v>109</v>
      </c>
      <c r="C90" s="8" t="s">
        <v>47</v>
      </c>
      <c r="D90" s="8" t="s">
        <v>75</v>
      </c>
      <c r="E90" s="9" t="n">
        <v>4</v>
      </c>
      <c r="F90" s="10" t="n">
        <v>44684</v>
      </c>
      <c r="G90" s="9" t="s">
        <v>11</v>
      </c>
      <c r="H90" s="9" t="n">
        <v>2</v>
      </c>
      <c r="I90" s="1" t="n">
        <v>20</v>
      </c>
      <c r="J90" s="1" t="n">
        <v>0</v>
      </c>
    </row>
    <row r="91" customFormat="false" ht="13.8" hidden="false" customHeight="false" outlineLevel="0" collapsed="false">
      <c r="A91" s="4" t="s">
        <v>18</v>
      </c>
      <c r="B91" s="1" t="s">
        <v>110</v>
      </c>
      <c r="C91" s="8" t="s">
        <v>47</v>
      </c>
      <c r="D91" s="8" t="s">
        <v>75</v>
      </c>
      <c r="E91" s="9" t="n">
        <v>4</v>
      </c>
      <c r="F91" s="10" t="n">
        <v>44684</v>
      </c>
      <c r="G91" s="9" t="s">
        <v>11</v>
      </c>
      <c r="H91" s="9" t="n">
        <v>3</v>
      </c>
      <c r="I91" s="1" t="n">
        <v>20</v>
      </c>
      <c r="J91" s="1" t="n">
        <v>0</v>
      </c>
    </row>
    <row r="92" customFormat="false" ht="13.8" hidden="false" customHeight="false" outlineLevel="0" collapsed="false">
      <c r="A92" s="4" t="s">
        <v>22</v>
      </c>
      <c r="B92" s="1" t="s">
        <v>111</v>
      </c>
      <c r="C92" s="8" t="s">
        <v>47</v>
      </c>
      <c r="D92" s="8" t="s">
        <v>75</v>
      </c>
      <c r="E92" s="9" t="n">
        <v>4</v>
      </c>
      <c r="F92" s="10" t="n">
        <v>44684</v>
      </c>
      <c r="G92" s="9" t="s">
        <v>11</v>
      </c>
      <c r="H92" s="9" t="n">
        <v>1</v>
      </c>
      <c r="I92" s="1" t="n">
        <v>20</v>
      </c>
      <c r="J92" s="1" t="n">
        <v>0</v>
      </c>
    </row>
    <row r="93" customFormat="false" ht="13.8" hidden="false" customHeight="false" outlineLevel="0" collapsed="false">
      <c r="A93" s="4" t="s">
        <v>22</v>
      </c>
      <c r="B93" s="1" t="s">
        <v>112</v>
      </c>
      <c r="C93" s="8" t="s">
        <v>47</v>
      </c>
      <c r="D93" s="8" t="s">
        <v>75</v>
      </c>
      <c r="E93" s="9" t="n">
        <v>4</v>
      </c>
      <c r="F93" s="10" t="n">
        <v>44684</v>
      </c>
      <c r="G93" s="9" t="s">
        <v>11</v>
      </c>
      <c r="H93" s="9" t="n">
        <v>2</v>
      </c>
      <c r="I93" s="1" t="n">
        <v>20</v>
      </c>
      <c r="J93" s="1" t="n">
        <v>0</v>
      </c>
    </row>
    <row r="94" customFormat="false" ht="13.8" hidden="false" customHeight="false" outlineLevel="0" collapsed="false">
      <c r="A94" s="4" t="s">
        <v>22</v>
      </c>
      <c r="B94" s="1" t="s">
        <v>113</v>
      </c>
      <c r="C94" s="8" t="s">
        <v>47</v>
      </c>
      <c r="D94" s="8" t="s">
        <v>75</v>
      </c>
      <c r="E94" s="9" t="n">
        <v>4</v>
      </c>
      <c r="F94" s="10" t="n">
        <v>44684</v>
      </c>
      <c r="G94" s="9" t="s">
        <v>11</v>
      </c>
      <c r="H94" s="9" t="n">
        <v>3</v>
      </c>
      <c r="I94" s="1" t="n">
        <v>20</v>
      </c>
      <c r="J94" s="1" t="n">
        <v>0</v>
      </c>
    </row>
    <row r="95" customFormat="false" ht="13.8" hidden="false" customHeight="false" outlineLevel="0" collapsed="false">
      <c r="A95" s="4" t="s">
        <v>26</v>
      </c>
      <c r="B95" s="1" t="s">
        <v>114</v>
      </c>
      <c r="C95" s="8" t="s">
        <v>47</v>
      </c>
      <c r="D95" s="8" t="s">
        <v>75</v>
      </c>
      <c r="E95" s="9" t="n">
        <v>4</v>
      </c>
      <c r="F95" s="10" t="n">
        <v>44684</v>
      </c>
      <c r="G95" s="9" t="s">
        <v>11</v>
      </c>
      <c r="H95" s="9" t="n">
        <v>1</v>
      </c>
      <c r="I95" s="1" t="n">
        <v>20</v>
      </c>
      <c r="J95" s="1" t="n">
        <v>0</v>
      </c>
    </row>
    <row r="96" customFormat="false" ht="13.8" hidden="false" customHeight="false" outlineLevel="0" collapsed="false">
      <c r="A96" s="4" t="s">
        <v>26</v>
      </c>
      <c r="B96" s="1" t="s">
        <v>115</v>
      </c>
      <c r="C96" s="8" t="s">
        <v>47</v>
      </c>
      <c r="D96" s="8" t="s">
        <v>75</v>
      </c>
      <c r="E96" s="9" t="n">
        <v>4</v>
      </c>
      <c r="F96" s="10" t="n">
        <v>44684</v>
      </c>
      <c r="G96" s="9" t="s">
        <v>11</v>
      </c>
      <c r="H96" s="9" t="n">
        <v>2</v>
      </c>
      <c r="I96" s="1" t="n">
        <v>20</v>
      </c>
      <c r="J96" s="1" t="n">
        <v>0</v>
      </c>
    </row>
    <row r="97" customFormat="false" ht="13.8" hidden="false" customHeight="false" outlineLevel="0" collapsed="false">
      <c r="A97" s="4" t="s">
        <v>26</v>
      </c>
      <c r="B97" s="1" t="s">
        <v>116</v>
      </c>
      <c r="C97" s="8" t="s">
        <v>47</v>
      </c>
      <c r="D97" s="8" t="s">
        <v>75</v>
      </c>
      <c r="E97" s="9" t="n">
        <v>4</v>
      </c>
      <c r="F97" s="10" t="n">
        <v>44684</v>
      </c>
      <c r="G97" s="9" t="s">
        <v>11</v>
      </c>
      <c r="H97" s="9" t="n">
        <v>3</v>
      </c>
      <c r="I97" s="1" t="n">
        <v>20</v>
      </c>
      <c r="J97" s="1" t="n">
        <v>0</v>
      </c>
    </row>
    <row r="98" customFormat="false" ht="13.8" hidden="false" customHeight="false" outlineLevel="0" collapsed="false">
      <c r="A98" s="4" t="s">
        <v>30</v>
      </c>
      <c r="B98" s="1" t="s">
        <v>117</v>
      </c>
      <c r="C98" s="8" t="s">
        <v>47</v>
      </c>
      <c r="D98" s="8" t="s">
        <v>75</v>
      </c>
      <c r="E98" s="9" t="n">
        <v>4</v>
      </c>
      <c r="F98" s="10" t="n">
        <v>44685</v>
      </c>
      <c r="G98" s="9" t="s">
        <v>11</v>
      </c>
      <c r="H98" s="9" t="n">
        <v>1</v>
      </c>
      <c r="I98" s="1" t="n">
        <v>20</v>
      </c>
      <c r="J98" s="1" t="n">
        <v>0</v>
      </c>
    </row>
    <row r="99" customFormat="false" ht="13.8" hidden="false" customHeight="false" outlineLevel="0" collapsed="false">
      <c r="A99" s="4" t="s">
        <v>30</v>
      </c>
      <c r="B99" s="1" t="s">
        <v>118</v>
      </c>
      <c r="C99" s="8" t="s">
        <v>47</v>
      </c>
      <c r="D99" s="8" t="s">
        <v>75</v>
      </c>
      <c r="E99" s="9" t="n">
        <v>4</v>
      </c>
      <c r="F99" s="10" t="n">
        <v>44685</v>
      </c>
      <c r="G99" s="9" t="s">
        <v>11</v>
      </c>
      <c r="H99" s="9" t="n">
        <v>2</v>
      </c>
      <c r="I99" s="1" t="n">
        <v>20</v>
      </c>
      <c r="J99" s="1" t="n">
        <v>0</v>
      </c>
    </row>
    <row r="100" customFormat="false" ht="13.8" hidden="false" customHeight="false" outlineLevel="0" collapsed="false">
      <c r="A100" s="4" t="s">
        <v>30</v>
      </c>
      <c r="B100" s="1" t="s">
        <v>119</v>
      </c>
      <c r="C100" s="8" t="s">
        <v>47</v>
      </c>
      <c r="D100" s="8" t="s">
        <v>75</v>
      </c>
      <c r="E100" s="9" t="n">
        <v>4</v>
      </c>
      <c r="F100" s="10" t="n">
        <v>44685</v>
      </c>
      <c r="G100" s="9" t="s">
        <v>11</v>
      </c>
      <c r="H100" s="9" t="n">
        <v>3</v>
      </c>
      <c r="I100" s="1" t="n">
        <v>20</v>
      </c>
      <c r="J100" s="1" t="n">
        <v>0</v>
      </c>
    </row>
    <row r="101" customFormat="false" ht="13.8" hidden="false" customHeight="false" outlineLevel="0" collapsed="false">
      <c r="A101" s="4" t="s">
        <v>34</v>
      </c>
      <c r="B101" s="1" t="s">
        <v>120</v>
      </c>
      <c r="C101" s="8" t="s">
        <v>47</v>
      </c>
      <c r="D101" s="8" t="s">
        <v>75</v>
      </c>
      <c r="E101" s="9" t="n">
        <v>4</v>
      </c>
      <c r="F101" s="10" t="n">
        <v>44685</v>
      </c>
      <c r="G101" s="9" t="s">
        <v>11</v>
      </c>
      <c r="H101" s="9" t="n">
        <v>1</v>
      </c>
      <c r="I101" s="1" t="n">
        <v>20</v>
      </c>
      <c r="J101" s="1" t="n">
        <v>0</v>
      </c>
    </row>
    <row r="102" customFormat="false" ht="13.8" hidden="false" customHeight="false" outlineLevel="0" collapsed="false">
      <c r="A102" s="4" t="s">
        <v>34</v>
      </c>
      <c r="B102" s="1" t="s">
        <v>121</v>
      </c>
      <c r="C102" s="8" t="s">
        <v>47</v>
      </c>
      <c r="D102" s="8" t="s">
        <v>75</v>
      </c>
      <c r="E102" s="9" t="n">
        <v>4</v>
      </c>
      <c r="F102" s="10" t="n">
        <v>44685</v>
      </c>
      <c r="G102" s="9" t="s">
        <v>11</v>
      </c>
      <c r="H102" s="9" t="n">
        <v>2</v>
      </c>
      <c r="I102" s="1" t="n">
        <v>20</v>
      </c>
      <c r="J102" s="1" t="n">
        <v>0</v>
      </c>
    </row>
    <row r="103" customFormat="false" ht="13.8" hidden="false" customHeight="false" outlineLevel="0" collapsed="false">
      <c r="A103" s="4" t="s">
        <v>34</v>
      </c>
      <c r="B103" s="1" t="s">
        <v>122</v>
      </c>
      <c r="C103" s="8" t="s">
        <v>47</v>
      </c>
      <c r="D103" s="8" t="s">
        <v>75</v>
      </c>
      <c r="E103" s="9" t="n">
        <v>4</v>
      </c>
      <c r="F103" s="10" t="n">
        <v>44685</v>
      </c>
      <c r="G103" s="9" t="s">
        <v>11</v>
      </c>
      <c r="H103" s="9" t="n">
        <v>3</v>
      </c>
      <c r="I103" s="1" t="n">
        <v>20</v>
      </c>
      <c r="J103" s="1" t="n">
        <v>0</v>
      </c>
    </row>
    <row r="104" customFormat="false" ht="13.8" hidden="false" customHeight="false" outlineLevel="0" collapsed="false">
      <c r="A104" s="4" t="s">
        <v>38</v>
      </c>
      <c r="B104" s="1" t="s">
        <v>123</v>
      </c>
      <c r="C104" s="8" t="s">
        <v>47</v>
      </c>
      <c r="D104" s="8" t="s">
        <v>75</v>
      </c>
      <c r="E104" s="9" t="n">
        <v>4</v>
      </c>
      <c r="F104" s="10" t="n">
        <v>44686</v>
      </c>
      <c r="G104" s="9" t="s">
        <v>11</v>
      </c>
      <c r="H104" s="9" t="n">
        <v>1</v>
      </c>
      <c r="I104" s="1" t="n">
        <v>20</v>
      </c>
      <c r="J104" s="1" t="n">
        <v>0</v>
      </c>
    </row>
    <row r="105" customFormat="false" ht="13.8" hidden="false" customHeight="false" outlineLevel="0" collapsed="false">
      <c r="A105" s="4" t="s">
        <v>38</v>
      </c>
      <c r="B105" s="1" t="s">
        <v>124</v>
      </c>
      <c r="C105" s="8" t="s">
        <v>47</v>
      </c>
      <c r="D105" s="8" t="s">
        <v>75</v>
      </c>
      <c r="E105" s="9" t="n">
        <v>4</v>
      </c>
      <c r="F105" s="10" t="n">
        <v>44686</v>
      </c>
      <c r="G105" s="9" t="s">
        <v>11</v>
      </c>
      <c r="H105" s="9" t="n">
        <v>2</v>
      </c>
      <c r="I105" s="1" t="n">
        <v>20</v>
      </c>
      <c r="J105" s="1" t="n">
        <v>0</v>
      </c>
    </row>
    <row r="106" customFormat="false" ht="13.8" hidden="false" customHeight="false" outlineLevel="0" collapsed="false">
      <c r="A106" s="4" t="s">
        <v>38</v>
      </c>
      <c r="B106" s="1" t="s">
        <v>125</v>
      </c>
      <c r="C106" s="8" t="s">
        <v>47</v>
      </c>
      <c r="D106" s="8" t="s">
        <v>75</v>
      </c>
      <c r="E106" s="9" t="n">
        <v>4</v>
      </c>
      <c r="F106" s="10" t="n">
        <v>44686</v>
      </c>
      <c r="G106" s="9" t="s">
        <v>11</v>
      </c>
      <c r="H106" s="9" t="n">
        <v>3</v>
      </c>
      <c r="I106" s="1" t="n">
        <v>20</v>
      </c>
      <c r="J106" s="1" t="n">
        <v>0</v>
      </c>
    </row>
    <row r="107" customFormat="false" ht="13.8" hidden="false" customHeight="false" outlineLevel="0" collapsed="false">
      <c r="A107" s="4" t="s">
        <v>42</v>
      </c>
      <c r="B107" s="1" t="s">
        <v>126</v>
      </c>
      <c r="C107" s="8" t="s">
        <v>47</v>
      </c>
      <c r="D107" s="8" t="s">
        <v>75</v>
      </c>
      <c r="E107" s="9" t="n">
        <v>4</v>
      </c>
      <c r="F107" s="10" t="n">
        <v>44686</v>
      </c>
      <c r="G107" s="9" t="s">
        <v>11</v>
      </c>
      <c r="H107" s="9" t="n">
        <v>1</v>
      </c>
      <c r="I107" s="1" t="n">
        <v>20</v>
      </c>
      <c r="J107" s="1" t="n">
        <v>0</v>
      </c>
    </row>
    <row r="108" customFormat="false" ht="13.8" hidden="false" customHeight="false" outlineLevel="0" collapsed="false">
      <c r="A108" s="4" t="s">
        <v>42</v>
      </c>
      <c r="B108" s="1" t="s">
        <v>127</v>
      </c>
      <c r="C108" s="8" t="s">
        <v>47</v>
      </c>
      <c r="D108" s="8" t="s">
        <v>75</v>
      </c>
      <c r="E108" s="9" t="n">
        <v>4</v>
      </c>
      <c r="F108" s="10" t="n">
        <v>44686</v>
      </c>
      <c r="G108" s="9" t="s">
        <v>11</v>
      </c>
      <c r="H108" s="9" t="n">
        <v>2</v>
      </c>
      <c r="I108" s="1" t="n">
        <v>20</v>
      </c>
      <c r="J108" s="1" t="n">
        <v>0</v>
      </c>
    </row>
    <row r="109" customFormat="false" ht="13.8" hidden="false" customHeight="false" outlineLevel="0" collapsed="false">
      <c r="A109" s="4" t="s">
        <v>42</v>
      </c>
      <c r="B109" s="1" t="s">
        <v>128</v>
      </c>
      <c r="C109" s="8" t="s">
        <v>47</v>
      </c>
      <c r="D109" s="8" t="s">
        <v>75</v>
      </c>
      <c r="E109" s="9" t="n">
        <v>4</v>
      </c>
      <c r="F109" s="10" t="n">
        <v>44686</v>
      </c>
      <c r="G109" s="9" t="s">
        <v>11</v>
      </c>
      <c r="H109" s="9" t="n">
        <v>3</v>
      </c>
      <c r="I109" s="1" t="n">
        <v>20</v>
      </c>
      <c r="J109" s="1" t="n">
        <v>0</v>
      </c>
    </row>
    <row r="110" customFormat="false" ht="13.8" hidden="false" customHeight="false" outlineLevel="0" collapsed="false">
      <c r="A110" s="4" t="s">
        <v>7</v>
      </c>
      <c r="B110" s="1" t="s">
        <v>129</v>
      </c>
      <c r="C110" s="8" t="s">
        <v>9</v>
      </c>
      <c r="D110" s="8" t="s">
        <v>75</v>
      </c>
      <c r="E110" s="9" t="n">
        <v>5</v>
      </c>
      <c r="F110" s="10" t="n">
        <v>45967</v>
      </c>
      <c r="G110" s="9" t="s">
        <v>11</v>
      </c>
      <c r="H110" s="9" t="n">
        <v>1</v>
      </c>
      <c r="I110" s="1" t="n">
        <v>20</v>
      </c>
      <c r="J110" s="1" t="n">
        <v>0</v>
      </c>
    </row>
    <row r="111" customFormat="false" ht="13.8" hidden="false" customHeight="false" outlineLevel="0" collapsed="false">
      <c r="A111" s="4" t="s">
        <v>7</v>
      </c>
      <c r="B111" s="1" t="s">
        <v>130</v>
      </c>
      <c r="C111" s="8" t="s">
        <v>9</v>
      </c>
      <c r="D111" s="8" t="s">
        <v>75</v>
      </c>
      <c r="E111" s="9" t="n">
        <v>5</v>
      </c>
      <c r="F111" s="10" t="n">
        <v>45967</v>
      </c>
      <c r="G111" s="9" t="s">
        <v>11</v>
      </c>
      <c r="H111" s="9" t="n">
        <v>2</v>
      </c>
      <c r="I111" s="1" t="n">
        <v>20</v>
      </c>
      <c r="J111" s="1" t="n">
        <v>0</v>
      </c>
    </row>
    <row r="112" customFormat="false" ht="13.8" hidden="false" customHeight="false" outlineLevel="0" collapsed="false">
      <c r="A112" s="4" t="s">
        <v>7</v>
      </c>
      <c r="B112" s="1" t="s">
        <v>131</v>
      </c>
      <c r="C112" s="8" t="s">
        <v>9</v>
      </c>
      <c r="D112" s="8" t="s">
        <v>75</v>
      </c>
      <c r="E112" s="9" t="n">
        <v>5</v>
      </c>
      <c r="F112" s="10" t="n">
        <v>45967</v>
      </c>
      <c r="G112" s="9" t="s">
        <v>11</v>
      </c>
      <c r="H112" s="9" t="n">
        <v>3</v>
      </c>
      <c r="I112" s="1" t="n">
        <v>20</v>
      </c>
      <c r="J112" s="1" t="n">
        <v>0</v>
      </c>
    </row>
    <row r="113" customFormat="false" ht="13.8" hidden="false" customHeight="false" outlineLevel="0" collapsed="false">
      <c r="A113" s="4" t="s">
        <v>14</v>
      </c>
      <c r="B113" s="1" t="s">
        <v>132</v>
      </c>
      <c r="C113" s="8" t="s">
        <v>9</v>
      </c>
      <c r="D113" s="8" t="s">
        <v>75</v>
      </c>
      <c r="E113" s="9" t="n">
        <v>5</v>
      </c>
      <c r="F113" s="10" t="n">
        <v>45966</v>
      </c>
      <c r="G113" s="9" t="s">
        <v>11</v>
      </c>
      <c r="H113" s="9" t="n">
        <v>1</v>
      </c>
      <c r="I113" s="1" t="n">
        <v>20</v>
      </c>
      <c r="J113" s="1" t="n">
        <v>0</v>
      </c>
    </row>
    <row r="114" customFormat="false" ht="13.8" hidden="false" customHeight="false" outlineLevel="0" collapsed="false">
      <c r="A114" s="4" t="s">
        <v>14</v>
      </c>
      <c r="B114" s="1" t="s">
        <v>133</v>
      </c>
      <c r="C114" s="8" t="s">
        <v>9</v>
      </c>
      <c r="D114" s="8" t="s">
        <v>75</v>
      </c>
      <c r="E114" s="9" t="n">
        <v>5</v>
      </c>
      <c r="F114" s="10" t="n">
        <v>45966</v>
      </c>
      <c r="G114" s="9" t="s">
        <v>11</v>
      </c>
      <c r="H114" s="9" t="n">
        <v>2</v>
      </c>
      <c r="I114" s="1" t="n">
        <v>20</v>
      </c>
      <c r="J114" s="1" t="n">
        <v>0</v>
      </c>
    </row>
    <row r="115" customFormat="false" ht="13.8" hidden="false" customHeight="false" outlineLevel="0" collapsed="false">
      <c r="A115" s="4" t="s">
        <v>14</v>
      </c>
      <c r="B115" s="1" t="s">
        <v>134</v>
      </c>
      <c r="C115" s="8" t="s">
        <v>9</v>
      </c>
      <c r="D115" s="8" t="s">
        <v>75</v>
      </c>
      <c r="E115" s="9" t="n">
        <v>5</v>
      </c>
      <c r="F115" s="10" t="n">
        <v>45966</v>
      </c>
      <c r="G115" s="9" t="s">
        <v>11</v>
      </c>
      <c r="H115" s="9" t="n">
        <v>3</v>
      </c>
      <c r="I115" s="1" t="n">
        <v>20</v>
      </c>
      <c r="J115" s="1" t="n">
        <v>0</v>
      </c>
    </row>
    <row r="116" customFormat="false" ht="13.8" hidden="false" customHeight="false" outlineLevel="0" collapsed="false">
      <c r="A116" s="4" t="s">
        <v>18</v>
      </c>
      <c r="B116" s="1" t="s">
        <v>135</v>
      </c>
      <c r="C116" s="8" t="s">
        <v>9</v>
      </c>
      <c r="D116" s="8" t="s">
        <v>75</v>
      </c>
      <c r="E116" s="9" t="n">
        <v>5</v>
      </c>
      <c r="F116" s="10" t="n">
        <v>45966</v>
      </c>
      <c r="G116" s="9" t="s">
        <v>11</v>
      </c>
      <c r="H116" s="9" t="n">
        <v>1</v>
      </c>
      <c r="I116" s="1" t="n">
        <v>20</v>
      </c>
      <c r="J116" s="1" t="n">
        <v>0</v>
      </c>
    </row>
    <row r="117" customFormat="false" ht="13.8" hidden="false" customHeight="false" outlineLevel="0" collapsed="false">
      <c r="A117" s="4" t="s">
        <v>18</v>
      </c>
      <c r="B117" s="1" t="s">
        <v>136</v>
      </c>
      <c r="C117" s="8" t="s">
        <v>9</v>
      </c>
      <c r="D117" s="8" t="s">
        <v>75</v>
      </c>
      <c r="E117" s="9" t="n">
        <v>5</v>
      </c>
      <c r="F117" s="10" t="n">
        <v>45966</v>
      </c>
      <c r="G117" s="9" t="s">
        <v>11</v>
      </c>
      <c r="H117" s="9" t="n">
        <v>2</v>
      </c>
      <c r="I117" s="1" t="n">
        <v>20</v>
      </c>
      <c r="J117" s="1" t="n">
        <v>0</v>
      </c>
    </row>
    <row r="118" customFormat="false" ht="13.8" hidden="false" customHeight="false" outlineLevel="0" collapsed="false">
      <c r="A118" s="4" t="s">
        <v>18</v>
      </c>
      <c r="B118" s="1" t="s">
        <v>137</v>
      </c>
      <c r="C118" s="8" t="s">
        <v>9</v>
      </c>
      <c r="D118" s="8" t="s">
        <v>75</v>
      </c>
      <c r="E118" s="9" t="n">
        <v>5</v>
      </c>
      <c r="F118" s="10" t="n">
        <v>45966</v>
      </c>
      <c r="G118" s="9" t="s">
        <v>11</v>
      </c>
      <c r="H118" s="9" t="n">
        <v>3</v>
      </c>
      <c r="I118" s="1" t="n">
        <v>20</v>
      </c>
      <c r="J118" s="1" t="n">
        <v>0</v>
      </c>
    </row>
    <row r="119" customFormat="false" ht="13.8" hidden="false" customHeight="false" outlineLevel="0" collapsed="false">
      <c r="A119" s="4" t="s">
        <v>22</v>
      </c>
      <c r="B119" s="1" t="s">
        <v>138</v>
      </c>
      <c r="C119" s="8" t="s">
        <v>9</v>
      </c>
      <c r="D119" s="8" t="s">
        <v>75</v>
      </c>
      <c r="E119" s="9" t="n">
        <v>5</v>
      </c>
      <c r="F119" s="10" t="n">
        <v>45966</v>
      </c>
      <c r="G119" s="9" t="s">
        <v>11</v>
      </c>
      <c r="H119" s="9" t="n">
        <v>1</v>
      </c>
      <c r="I119" s="1" t="n">
        <v>20</v>
      </c>
      <c r="J119" s="1" t="n">
        <v>0</v>
      </c>
    </row>
    <row r="120" customFormat="false" ht="13.8" hidden="false" customHeight="false" outlineLevel="0" collapsed="false">
      <c r="A120" s="4" t="s">
        <v>22</v>
      </c>
      <c r="B120" s="1" t="s">
        <v>139</v>
      </c>
      <c r="C120" s="8" t="s">
        <v>9</v>
      </c>
      <c r="D120" s="8" t="s">
        <v>75</v>
      </c>
      <c r="E120" s="9" t="n">
        <v>5</v>
      </c>
      <c r="F120" s="10" t="n">
        <v>45966</v>
      </c>
      <c r="G120" s="9" t="s">
        <v>11</v>
      </c>
      <c r="H120" s="9" t="n">
        <v>2</v>
      </c>
      <c r="I120" s="1" t="n">
        <v>20</v>
      </c>
      <c r="J120" s="1" t="n">
        <v>0</v>
      </c>
    </row>
    <row r="121" customFormat="false" ht="13.8" hidden="false" customHeight="false" outlineLevel="0" collapsed="false">
      <c r="A121" s="4" t="s">
        <v>22</v>
      </c>
      <c r="B121" s="1" t="s">
        <v>140</v>
      </c>
      <c r="C121" s="8" t="s">
        <v>9</v>
      </c>
      <c r="D121" s="8" t="s">
        <v>75</v>
      </c>
      <c r="E121" s="9" t="n">
        <v>5</v>
      </c>
      <c r="F121" s="10" t="n">
        <v>45966</v>
      </c>
      <c r="G121" s="9" t="s">
        <v>11</v>
      </c>
      <c r="H121" s="9" t="n">
        <v>3</v>
      </c>
      <c r="I121" s="1" t="n">
        <v>20</v>
      </c>
      <c r="J121" s="1" t="n">
        <v>0</v>
      </c>
    </row>
    <row r="122" customFormat="false" ht="13.8" hidden="false" customHeight="false" outlineLevel="0" collapsed="false">
      <c r="A122" s="4" t="s">
        <v>26</v>
      </c>
      <c r="B122" s="1" t="s">
        <v>141</v>
      </c>
      <c r="C122" s="8" t="s">
        <v>9</v>
      </c>
      <c r="D122" s="8" t="s">
        <v>75</v>
      </c>
      <c r="E122" s="9" t="n">
        <v>5</v>
      </c>
      <c r="F122" s="10" t="n">
        <v>45965</v>
      </c>
      <c r="G122" s="9" t="s">
        <v>11</v>
      </c>
      <c r="H122" s="9" t="n">
        <v>1</v>
      </c>
      <c r="I122" s="1" t="n">
        <v>20</v>
      </c>
      <c r="J122" s="1" t="n">
        <v>0</v>
      </c>
    </row>
    <row r="123" customFormat="false" ht="13.8" hidden="false" customHeight="false" outlineLevel="0" collapsed="false">
      <c r="A123" s="4" t="s">
        <v>26</v>
      </c>
      <c r="B123" s="1" t="s">
        <v>142</v>
      </c>
      <c r="C123" s="8" t="s">
        <v>9</v>
      </c>
      <c r="D123" s="8" t="s">
        <v>75</v>
      </c>
      <c r="E123" s="9" t="n">
        <v>5</v>
      </c>
      <c r="F123" s="10" t="n">
        <v>45965</v>
      </c>
      <c r="G123" s="9" t="s">
        <v>11</v>
      </c>
      <c r="H123" s="9" t="n">
        <v>2</v>
      </c>
      <c r="I123" s="1" t="n">
        <v>20</v>
      </c>
      <c r="J123" s="1" t="n">
        <v>0</v>
      </c>
    </row>
    <row r="124" customFormat="false" ht="13.8" hidden="false" customHeight="false" outlineLevel="0" collapsed="false">
      <c r="A124" s="4" t="s">
        <v>26</v>
      </c>
      <c r="B124" s="1" t="s">
        <v>143</v>
      </c>
      <c r="C124" s="8" t="s">
        <v>9</v>
      </c>
      <c r="D124" s="8" t="s">
        <v>75</v>
      </c>
      <c r="E124" s="9" t="n">
        <v>5</v>
      </c>
      <c r="F124" s="10" t="n">
        <v>45965</v>
      </c>
      <c r="G124" s="9" t="s">
        <v>11</v>
      </c>
      <c r="H124" s="9" t="n">
        <v>3</v>
      </c>
      <c r="I124" s="1" t="n">
        <v>20</v>
      </c>
      <c r="J124" s="1" t="n">
        <v>0</v>
      </c>
    </row>
    <row r="125" customFormat="false" ht="13.8" hidden="false" customHeight="false" outlineLevel="0" collapsed="false">
      <c r="A125" s="4" t="s">
        <v>30</v>
      </c>
      <c r="B125" s="1" t="s">
        <v>144</v>
      </c>
      <c r="C125" s="8" t="s">
        <v>9</v>
      </c>
      <c r="D125" s="8" t="s">
        <v>75</v>
      </c>
      <c r="E125" s="9" t="n">
        <v>5</v>
      </c>
      <c r="F125" s="10" t="n">
        <v>45965</v>
      </c>
      <c r="G125" s="9" t="s">
        <v>11</v>
      </c>
      <c r="H125" s="9" t="n">
        <v>1</v>
      </c>
      <c r="I125" s="1" t="n">
        <v>20</v>
      </c>
      <c r="J125" s="1" t="n">
        <v>0</v>
      </c>
    </row>
    <row r="126" customFormat="false" ht="13.8" hidden="false" customHeight="false" outlineLevel="0" collapsed="false">
      <c r="A126" s="4" t="s">
        <v>30</v>
      </c>
      <c r="B126" s="1" t="s">
        <v>145</v>
      </c>
      <c r="C126" s="8" t="s">
        <v>9</v>
      </c>
      <c r="D126" s="8" t="s">
        <v>75</v>
      </c>
      <c r="E126" s="9" t="n">
        <v>5</v>
      </c>
      <c r="F126" s="10" t="n">
        <v>45965</v>
      </c>
      <c r="G126" s="9" t="s">
        <v>11</v>
      </c>
      <c r="H126" s="9" t="n">
        <v>2</v>
      </c>
      <c r="I126" s="1" t="n">
        <v>20</v>
      </c>
      <c r="J126" s="1" t="n">
        <v>0</v>
      </c>
    </row>
    <row r="127" customFormat="false" ht="13.8" hidden="false" customHeight="false" outlineLevel="0" collapsed="false">
      <c r="A127" s="4" t="s">
        <v>30</v>
      </c>
      <c r="B127" s="1" t="s">
        <v>146</v>
      </c>
      <c r="C127" s="8" t="s">
        <v>9</v>
      </c>
      <c r="D127" s="8" t="s">
        <v>75</v>
      </c>
      <c r="E127" s="9" t="n">
        <v>5</v>
      </c>
      <c r="F127" s="10" t="n">
        <v>45965</v>
      </c>
      <c r="G127" s="9" t="s">
        <v>11</v>
      </c>
      <c r="H127" s="9" t="n">
        <v>3</v>
      </c>
      <c r="I127" s="1" t="n">
        <v>20</v>
      </c>
      <c r="J127" s="1" t="n">
        <v>0</v>
      </c>
    </row>
    <row r="128" customFormat="false" ht="13.8" hidden="false" customHeight="false" outlineLevel="0" collapsed="false">
      <c r="A128" s="4" t="s">
        <v>34</v>
      </c>
      <c r="B128" s="1" t="s">
        <v>147</v>
      </c>
      <c r="C128" s="8" t="s">
        <v>9</v>
      </c>
      <c r="D128" s="8" t="s">
        <v>75</v>
      </c>
      <c r="E128" s="9" t="n">
        <v>5</v>
      </c>
      <c r="F128" s="10" t="n">
        <v>45965</v>
      </c>
      <c r="G128" s="9" t="s">
        <v>11</v>
      </c>
      <c r="H128" s="9" t="n">
        <v>1</v>
      </c>
      <c r="I128" s="1" t="n">
        <v>20</v>
      </c>
      <c r="J128" s="1" t="n">
        <v>0</v>
      </c>
    </row>
    <row r="129" customFormat="false" ht="13.8" hidden="false" customHeight="false" outlineLevel="0" collapsed="false">
      <c r="A129" s="4" t="s">
        <v>34</v>
      </c>
      <c r="B129" s="1" t="s">
        <v>148</v>
      </c>
      <c r="C129" s="8" t="s">
        <v>9</v>
      </c>
      <c r="D129" s="8" t="s">
        <v>75</v>
      </c>
      <c r="E129" s="9" t="n">
        <v>5</v>
      </c>
      <c r="F129" s="10" t="n">
        <v>45965</v>
      </c>
      <c r="G129" s="9" t="s">
        <v>11</v>
      </c>
      <c r="H129" s="9" t="n">
        <v>2</v>
      </c>
      <c r="I129" s="1" t="n">
        <v>20</v>
      </c>
      <c r="J129" s="1" t="n">
        <v>0</v>
      </c>
    </row>
    <row r="130" customFormat="false" ht="13.8" hidden="false" customHeight="false" outlineLevel="0" collapsed="false">
      <c r="A130" s="4" t="s">
        <v>34</v>
      </c>
      <c r="B130" s="1" t="s">
        <v>149</v>
      </c>
      <c r="C130" s="8" t="s">
        <v>9</v>
      </c>
      <c r="D130" s="8" t="s">
        <v>75</v>
      </c>
      <c r="E130" s="9" t="n">
        <v>5</v>
      </c>
      <c r="F130" s="10" t="n">
        <v>45965</v>
      </c>
      <c r="G130" s="9" t="s">
        <v>11</v>
      </c>
      <c r="H130" s="9" t="n">
        <v>3</v>
      </c>
      <c r="I130" s="1" t="n">
        <v>20</v>
      </c>
      <c r="J130" s="1" t="n">
        <v>0</v>
      </c>
    </row>
    <row r="131" customFormat="false" ht="13.8" hidden="false" customHeight="false" outlineLevel="0" collapsed="false">
      <c r="A131" s="4" t="s">
        <v>38</v>
      </c>
      <c r="B131" s="1" t="s">
        <v>150</v>
      </c>
      <c r="C131" s="8" t="s">
        <v>9</v>
      </c>
      <c r="D131" s="8" t="s">
        <v>75</v>
      </c>
      <c r="E131" s="9" t="n">
        <v>5</v>
      </c>
      <c r="F131" s="10" t="n">
        <v>45965</v>
      </c>
      <c r="G131" s="9" t="s">
        <v>11</v>
      </c>
      <c r="H131" s="9" t="n">
        <v>1</v>
      </c>
      <c r="I131" s="1" t="n">
        <v>20</v>
      </c>
      <c r="J131" s="1" t="n">
        <v>0</v>
      </c>
    </row>
    <row r="132" customFormat="false" ht="13.8" hidden="false" customHeight="false" outlineLevel="0" collapsed="false">
      <c r="A132" s="4" t="s">
        <v>38</v>
      </c>
      <c r="B132" s="1" t="s">
        <v>151</v>
      </c>
      <c r="C132" s="8" t="s">
        <v>9</v>
      </c>
      <c r="D132" s="8" t="s">
        <v>75</v>
      </c>
      <c r="E132" s="9" t="n">
        <v>5</v>
      </c>
      <c r="F132" s="10" t="n">
        <v>45965</v>
      </c>
      <c r="G132" s="9" t="s">
        <v>11</v>
      </c>
      <c r="H132" s="9" t="n">
        <v>2</v>
      </c>
      <c r="I132" s="1" t="n">
        <v>20</v>
      </c>
      <c r="J132" s="1" t="n">
        <v>0</v>
      </c>
    </row>
    <row r="133" customFormat="false" ht="13.8" hidden="false" customHeight="false" outlineLevel="0" collapsed="false">
      <c r="A133" s="4" t="s">
        <v>38</v>
      </c>
      <c r="B133" s="1" t="s">
        <v>152</v>
      </c>
      <c r="C133" s="8" t="s">
        <v>9</v>
      </c>
      <c r="D133" s="8" t="s">
        <v>75</v>
      </c>
      <c r="E133" s="9" t="n">
        <v>5</v>
      </c>
      <c r="F133" s="10" t="n">
        <v>45965</v>
      </c>
      <c r="G133" s="9" t="s">
        <v>11</v>
      </c>
      <c r="H133" s="9" t="n">
        <v>3</v>
      </c>
      <c r="I133" s="1" t="n">
        <v>20</v>
      </c>
      <c r="J133" s="1" t="n">
        <v>0</v>
      </c>
    </row>
    <row r="134" customFormat="false" ht="13.8" hidden="false" customHeight="false" outlineLevel="0" collapsed="false">
      <c r="A134" s="4" t="s">
        <v>42</v>
      </c>
      <c r="B134" s="1" t="s">
        <v>153</v>
      </c>
      <c r="C134" s="8" t="s">
        <v>9</v>
      </c>
      <c r="D134" s="8" t="s">
        <v>75</v>
      </c>
      <c r="E134" s="9" t="n">
        <v>5</v>
      </c>
      <c r="F134" s="10" t="n">
        <v>45964</v>
      </c>
      <c r="G134" s="9" t="s">
        <v>11</v>
      </c>
      <c r="H134" s="9" t="n">
        <v>1</v>
      </c>
      <c r="I134" s="1" t="n">
        <v>20</v>
      </c>
      <c r="J134" s="1" t="n">
        <v>20</v>
      </c>
    </row>
    <row r="135" customFormat="false" ht="13.8" hidden="false" customHeight="false" outlineLevel="0" collapsed="false">
      <c r="A135" s="4" t="s">
        <v>42</v>
      </c>
      <c r="B135" s="1" t="s">
        <v>154</v>
      </c>
      <c r="C135" s="8" t="s">
        <v>9</v>
      </c>
      <c r="D135" s="8" t="s">
        <v>75</v>
      </c>
      <c r="E135" s="9" t="n">
        <v>5</v>
      </c>
      <c r="F135" s="10" t="n">
        <v>45964</v>
      </c>
      <c r="G135" s="9" t="s">
        <v>11</v>
      </c>
      <c r="H135" s="9" t="n">
        <v>2</v>
      </c>
      <c r="I135" s="1" t="n">
        <v>20</v>
      </c>
      <c r="J135" s="1" t="n">
        <v>20</v>
      </c>
    </row>
    <row r="136" customFormat="false" ht="13.8" hidden="false" customHeight="false" outlineLevel="0" collapsed="false">
      <c r="A136" s="4" t="s">
        <v>42</v>
      </c>
      <c r="B136" s="1" t="s">
        <v>155</v>
      </c>
      <c r="C136" s="8" t="s">
        <v>9</v>
      </c>
      <c r="D136" s="8" t="s">
        <v>75</v>
      </c>
      <c r="E136" s="9" t="n">
        <v>5</v>
      </c>
      <c r="F136" s="10" t="n">
        <v>45964</v>
      </c>
      <c r="G136" s="9" t="s">
        <v>11</v>
      </c>
      <c r="H136" s="9" t="n">
        <v>3</v>
      </c>
      <c r="I136" s="1" t="n">
        <v>20</v>
      </c>
      <c r="J136" s="1" t="n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37"/>
  <sheetViews>
    <sheetView showFormulas="false" showGridLines="true" showRowColHeaders="true" showZeros="true" rightToLeft="false" tabSelected="false" showOutlineSymbols="true" defaultGridColor="true" view="normal" topLeftCell="AY1" colorId="64" zoomScale="100" zoomScaleNormal="100" zoomScalePageLayoutView="100" workbookViewId="0">
      <selection pane="topLeft" activeCell="BA18" activeCellId="0" sqref="B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37.75"/>
    <col collapsed="false" customWidth="true" hidden="false" outlineLevel="0" max="3" min="3" style="1" width="30.92"/>
    <col collapsed="false" customWidth="true" hidden="false" outlineLevel="0" max="4" min="4" style="1" width="8.3"/>
    <col collapsed="false" customWidth="true" hidden="false" outlineLevel="0" max="5" min="5" style="1" width="24.18"/>
    <col collapsed="false" customWidth="true" hidden="false" outlineLevel="0" max="6" min="6" style="1" width="25.56"/>
    <col collapsed="false" customWidth="true" hidden="false" outlineLevel="0" max="7" min="7" style="1" width="30.8"/>
    <col collapsed="false" customWidth="true" hidden="false" outlineLevel="0" max="8" min="8" style="1" width="25.67"/>
    <col collapsed="false" customWidth="true" hidden="false" outlineLevel="0" max="9" min="9" style="1" width="21.78"/>
    <col collapsed="false" customWidth="true" hidden="false" outlineLevel="0" max="10" min="10" style="1" width="29.55"/>
    <col collapsed="false" customWidth="true" hidden="false" outlineLevel="0" max="11" min="11" style="1" width="11.98"/>
    <col collapsed="false" customWidth="true" hidden="false" outlineLevel="0" max="12" min="12" style="1" width="12.88"/>
    <col collapsed="false" customWidth="true" hidden="false" outlineLevel="0" max="13" min="13" style="1" width="8.89"/>
    <col collapsed="false" customWidth="true" hidden="false" outlineLevel="0" max="14" min="14" style="1" width="46.9"/>
    <col collapsed="false" customWidth="true" hidden="false" outlineLevel="0" max="15" min="15" style="1" width="24.98"/>
    <col collapsed="false" customWidth="true" hidden="false" outlineLevel="0" max="16" min="16" style="1" width="13.46"/>
    <col collapsed="false" customWidth="true" hidden="false" outlineLevel="0" max="18" min="17" style="1" width="27.61"/>
    <col collapsed="false" customWidth="true" hidden="false" outlineLevel="0" max="19" min="19" style="1" width="31.04"/>
    <col collapsed="false" customWidth="true" hidden="false" outlineLevel="0" max="20" min="20" style="1" width="31.38"/>
    <col collapsed="false" customWidth="true" hidden="false" outlineLevel="0" max="21" min="21" style="1" width="23.94"/>
    <col collapsed="false" customWidth="true" hidden="false" outlineLevel="0" max="22" min="22" style="1" width="24.41"/>
    <col collapsed="false" customWidth="true" hidden="false" outlineLevel="0" max="23" min="23" style="1" width="28.87"/>
    <col collapsed="false" customWidth="true" hidden="false" outlineLevel="0" max="24" min="24" style="1" width="22.93"/>
    <col collapsed="false" customWidth="true" hidden="false" outlineLevel="0" max="25" min="25" style="1" width="24.3"/>
    <col collapsed="false" customWidth="true" hidden="false" outlineLevel="0" max="26" min="26" style="1" width="19.28"/>
    <col collapsed="false" customWidth="true" hidden="false" outlineLevel="0" max="27" min="27" style="1" width="22.7"/>
    <col collapsed="false" customWidth="true" hidden="false" outlineLevel="0" max="28" min="28" style="1" width="21.22"/>
    <col collapsed="false" customWidth="true" hidden="false" outlineLevel="0" max="29" min="29" style="1" width="23.73"/>
    <col collapsed="false" customWidth="true" hidden="false" outlineLevel="0" max="30" min="30" style="1" width="19.62"/>
    <col collapsed="false" customWidth="true" hidden="false" outlineLevel="0" max="31" min="31" style="1" width="21.1"/>
    <col collapsed="false" customWidth="true" hidden="false" outlineLevel="0" max="32" min="32" style="1" width="23.94"/>
    <col collapsed="false" customWidth="true" hidden="false" outlineLevel="0" max="33" min="33" style="1" width="21.33"/>
    <col collapsed="false" customWidth="true" hidden="false" outlineLevel="0" max="34" min="34" style="1" width="21.56"/>
    <col collapsed="false" customWidth="true" hidden="false" outlineLevel="0" max="35" min="35" style="1" width="18.94"/>
    <col collapsed="false" customWidth="true" hidden="false" outlineLevel="0" max="36" min="36" style="1" width="23.27"/>
    <col collapsed="false" customWidth="true" hidden="false" outlineLevel="0" max="37" min="37" style="1" width="22.36"/>
    <col collapsed="false" customWidth="true" hidden="false" outlineLevel="0" max="38" min="38" style="1" width="27.84"/>
    <col collapsed="false" customWidth="true" hidden="false" outlineLevel="0" max="39" min="39" style="1" width="21.56"/>
    <col collapsed="false" customWidth="true" hidden="false" outlineLevel="0" max="40" min="40" style="1" width="22.02"/>
    <col collapsed="false" customWidth="true" hidden="false" outlineLevel="0" max="41" min="41" style="1" width="25.1"/>
    <col collapsed="false" customWidth="true" hidden="false" outlineLevel="0" max="42" min="42" style="1" width="21.56"/>
    <col collapsed="false" customWidth="true" hidden="false" outlineLevel="0" max="43" min="43" style="1" width="26.12"/>
    <col collapsed="false" customWidth="true" hidden="false" outlineLevel="0" max="44" min="44" style="1" width="24.3"/>
    <col collapsed="false" customWidth="true" hidden="false" outlineLevel="0" max="45" min="45" style="1" width="24.06"/>
    <col collapsed="false" customWidth="true" hidden="false" outlineLevel="0" max="46" min="46" style="1" width="5.92"/>
    <col collapsed="false" customWidth="true" hidden="false" outlineLevel="0" max="47" min="47" style="1" width="13.91"/>
    <col collapsed="false" customWidth="true" hidden="false" outlineLevel="0" max="48" min="48" style="1" width="22.93"/>
    <col collapsed="false" customWidth="true" hidden="false" outlineLevel="0" max="49" min="49" style="1" width="24.52"/>
    <col collapsed="false" customWidth="true" hidden="false" outlineLevel="0" max="50" min="50" style="1" width="21.79"/>
    <col collapsed="false" customWidth="true" hidden="false" outlineLevel="0" max="51" min="51" style="1" width="37.34"/>
    <col collapsed="false" customWidth="true" hidden="false" outlineLevel="0" max="52" min="52" style="1" width="20.31"/>
    <col collapsed="false" customWidth="true" hidden="false" outlineLevel="0" max="53" min="53" style="1" width="27.49"/>
    <col collapsed="false" customWidth="true" hidden="false" outlineLevel="0" max="54" min="54" style="1" width="22.13"/>
    <col collapsed="false" customWidth="true" hidden="false" outlineLevel="0" max="55" min="55" style="1" width="25.32"/>
    <col collapsed="false" customWidth="true" hidden="false" outlineLevel="0" max="56" min="56" style="1" width="11.74"/>
    <col collapsed="false" customWidth="true" hidden="false" outlineLevel="0" max="57" min="57" style="1" width="25.67"/>
    <col collapsed="false" customWidth="false" hidden="false" outlineLevel="0" max="16384" min="58" style="1" width="11.53"/>
  </cols>
  <sheetData>
    <row r="1" customFormat="false" ht="12.8" hidden="false" customHeight="false" outlineLevel="0" collapsed="false">
      <c r="A1" s="11" t="str">
        <f aca="false">"sum= "&amp;SUM(B3:BM50)</f>
        <v>sum= 46828</v>
      </c>
      <c r="B1" s="1" t="s">
        <v>156</v>
      </c>
      <c r="C1" s="1" t="s">
        <v>157</v>
      </c>
      <c r="D1" s="12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3" t="s">
        <v>165</v>
      </c>
      <c r="L1" s="1" t="s">
        <v>166</v>
      </c>
      <c r="M1" s="12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4" t="s">
        <v>199</v>
      </c>
      <c r="AT1" s="12" t="s">
        <v>200</v>
      </c>
      <c r="AU1" s="12" t="s">
        <v>201</v>
      </c>
      <c r="AV1" s="1" t="s">
        <v>202</v>
      </c>
      <c r="AW1" s="1" t="s">
        <v>203</v>
      </c>
      <c r="AX1" s="15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</row>
    <row r="2" customFormat="false" ht="12.8" hidden="false" customHeight="false" outlineLevel="0" collapsed="false">
      <c r="A2" s="4" t="str">
        <f aca="false">"m = "&amp;COUNTA(A3:A1014)</f>
        <v>m = 135</v>
      </c>
      <c r="B2" s="1" t="s">
        <v>212</v>
      </c>
      <c r="C2" s="1" t="s">
        <v>213</v>
      </c>
      <c r="D2" s="12" t="s">
        <v>158</v>
      </c>
      <c r="E2" s="1" t="s">
        <v>214</v>
      </c>
      <c r="F2" s="1" t="s">
        <v>215</v>
      </c>
      <c r="G2" s="1" t="s">
        <v>216</v>
      </c>
      <c r="H2" s="1" t="s">
        <v>217</v>
      </c>
      <c r="I2" s="1" t="s">
        <v>218</v>
      </c>
      <c r="J2" s="1" t="s">
        <v>219</v>
      </c>
      <c r="K2" s="13" t="s">
        <v>220</v>
      </c>
      <c r="L2" s="1" t="s">
        <v>221</v>
      </c>
      <c r="M2" s="12" t="s">
        <v>167</v>
      </c>
      <c r="N2" s="1" t="s">
        <v>222</v>
      </c>
      <c r="O2" s="1" t="s">
        <v>223</v>
      </c>
      <c r="P2" s="1" t="s">
        <v>224</v>
      </c>
      <c r="Q2" s="1" t="s">
        <v>225</v>
      </c>
      <c r="R2" s="1" t="s">
        <v>226</v>
      </c>
      <c r="S2" s="1" t="s">
        <v>227</v>
      </c>
      <c r="T2" s="1" t="s">
        <v>228</v>
      </c>
      <c r="U2" s="1" t="s">
        <v>229</v>
      </c>
      <c r="V2" s="1" t="s">
        <v>230</v>
      </c>
      <c r="W2" s="1" t="s">
        <v>231</v>
      </c>
      <c r="X2" s="1" t="s">
        <v>232</v>
      </c>
      <c r="Y2" s="1" t="s">
        <v>233</v>
      </c>
      <c r="Z2" s="1" t="s">
        <v>234</v>
      </c>
      <c r="AA2" s="1" t="s">
        <v>235</v>
      </c>
      <c r="AB2" s="1" t="s">
        <v>236</v>
      </c>
      <c r="AC2" s="1" t="s">
        <v>237</v>
      </c>
      <c r="AD2" s="1" t="s">
        <v>238</v>
      </c>
      <c r="AE2" s="1" t="s">
        <v>239</v>
      </c>
      <c r="AF2" s="1" t="s">
        <v>240</v>
      </c>
      <c r="AG2" s="1" t="s">
        <v>241</v>
      </c>
      <c r="AH2" s="1" t="s">
        <v>242</v>
      </c>
      <c r="AI2" s="1" t="s">
        <v>243</v>
      </c>
      <c r="AJ2" s="1" t="s">
        <v>244</v>
      </c>
      <c r="AK2" s="1" t="s">
        <v>245</v>
      </c>
      <c r="AL2" s="1" t="s">
        <v>246</v>
      </c>
      <c r="AM2" s="1" t="s">
        <v>247</v>
      </c>
      <c r="AN2" s="1" t="s">
        <v>248</v>
      </c>
      <c r="AO2" s="1" t="s">
        <v>249</v>
      </c>
      <c r="AP2" s="1" t="s">
        <v>250</v>
      </c>
      <c r="AQ2" s="1" t="s">
        <v>251</v>
      </c>
      <c r="AR2" s="1" t="s">
        <v>252</v>
      </c>
      <c r="AS2" s="13" t="s">
        <v>253</v>
      </c>
      <c r="AT2" s="12" t="s">
        <v>200</v>
      </c>
      <c r="AU2" s="12" t="s">
        <v>254</v>
      </c>
      <c r="AV2" s="1" t="s">
        <v>255</v>
      </c>
      <c r="AW2" s="1" t="s">
        <v>256</v>
      </c>
      <c r="AX2" s="1" t="s">
        <v>257</v>
      </c>
      <c r="AY2" s="1" t="s">
        <v>258</v>
      </c>
      <c r="AZ2" s="1" t="s">
        <v>259</v>
      </c>
      <c r="BA2" s="1" t="s">
        <v>260</v>
      </c>
      <c r="BB2" s="1" t="s">
        <v>261</v>
      </c>
      <c r="BC2" s="1" t="s">
        <v>262</v>
      </c>
      <c r="BD2" s="1" t="s">
        <v>263</v>
      </c>
      <c r="BE2" s="1" t="s">
        <v>264</v>
      </c>
    </row>
    <row r="3" customFormat="false" ht="12.8" hidden="false" customHeight="false" outlineLevel="0" collapsed="false">
      <c r="A3" s="1" t="s">
        <v>8</v>
      </c>
      <c r="B3" s="1" t="n">
        <v>0</v>
      </c>
      <c r="C3" s="1" t="n">
        <v>0</v>
      </c>
      <c r="D3" s="1" t="n">
        <v>39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22</v>
      </c>
      <c r="L3" s="1" t="n">
        <v>0</v>
      </c>
      <c r="M3" s="1" t="n">
        <v>190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123</v>
      </c>
      <c r="U3" s="1" t="n">
        <v>1</v>
      </c>
      <c r="V3" s="1" t="n">
        <v>5</v>
      </c>
      <c r="W3" s="1" t="n">
        <v>1</v>
      </c>
      <c r="X3" s="1" t="n">
        <v>56</v>
      </c>
      <c r="Y3" s="1" t="n">
        <v>2</v>
      </c>
      <c r="Z3" s="1" t="n">
        <v>0</v>
      </c>
      <c r="AA3" s="1" t="n">
        <v>142</v>
      </c>
      <c r="AB3" s="1" t="n">
        <v>0</v>
      </c>
      <c r="AC3" s="1" t="n">
        <v>0</v>
      </c>
      <c r="AD3" s="1" t="n">
        <v>2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1512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</row>
    <row r="4" customFormat="false" ht="12.8" hidden="false" customHeight="false" outlineLevel="0" collapsed="false">
      <c r="A4" s="1" t="s">
        <v>12</v>
      </c>
      <c r="B4" s="16" t="s">
        <v>265</v>
      </c>
      <c r="C4" s="16" t="s">
        <v>265</v>
      </c>
      <c r="D4" s="16" t="s">
        <v>265</v>
      </c>
      <c r="E4" s="16" t="s">
        <v>265</v>
      </c>
      <c r="F4" s="16" t="s">
        <v>265</v>
      </c>
      <c r="G4" s="16" t="s">
        <v>265</v>
      </c>
      <c r="H4" s="16" t="s">
        <v>265</v>
      </c>
      <c r="I4" s="16" t="s">
        <v>265</v>
      </c>
      <c r="J4" s="16" t="s">
        <v>265</v>
      </c>
      <c r="K4" s="16" t="s">
        <v>265</v>
      </c>
      <c r="L4" s="16" t="s">
        <v>265</v>
      </c>
      <c r="M4" s="16" t="s">
        <v>265</v>
      </c>
      <c r="N4" s="16" t="s">
        <v>265</v>
      </c>
      <c r="O4" s="16" t="s">
        <v>265</v>
      </c>
      <c r="P4" s="16" t="s">
        <v>265</v>
      </c>
      <c r="Q4" s="16" t="s">
        <v>265</v>
      </c>
      <c r="R4" s="16" t="s">
        <v>265</v>
      </c>
      <c r="S4" s="16" t="s">
        <v>265</v>
      </c>
      <c r="T4" s="16" t="s">
        <v>265</v>
      </c>
      <c r="U4" s="16" t="s">
        <v>265</v>
      </c>
      <c r="V4" s="16" t="s">
        <v>265</v>
      </c>
      <c r="W4" s="16" t="s">
        <v>265</v>
      </c>
      <c r="X4" s="16" t="s">
        <v>265</v>
      </c>
      <c r="Y4" s="16" t="s">
        <v>265</v>
      </c>
      <c r="Z4" s="16" t="s">
        <v>265</v>
      </c>
      <c r="AA4" s="16" t="s">
        <v>265</v>
      </c>
      <c r="AB4" s="16" t="s">
        <v>265</v>
      </c>
      <c r="AC4" s="16" t="s">
        <v>265</v>
      </c>
      <c r="AD4" s="16" t="s">
        <v>265</v>
      </c>
      <c r="AE4" s="16" t="s">
        <v>265</v>
      </c>
      <c r="AF4" s="16" t="s">
        <v>265</v>
      </c>
      <c r="AG4" s="16" t="s">
        <v>265</v>
      </c>
      <c r="AH4" s="16" t="s">
        <v>265</v>
      </c>
      <c r="AI4" s="16" t="s">
        <v>265</v>
      </c>
      <c r="AJ4" s="16" t="s">
        <v>265</v>
      </c>
      <c r="AK4" s="16" t="s">
        <v>265</v>
      </c>
      <c r="AL4" s="16" t="s">
        <v>265</v>
      </c>
      <c r="AM4" s="16" t="s">
        <v>265</v>
      </c>
      <c r="AN4" s="16" t="s">
        <v>265</v>
      </c>
      <c r="AO4" s="16" t="s">
        <v>265</v>
      </c>
      <c r="AP4" s="16" t="s">
        <v>265</v>
      </c>
      <c r="AQ4" s="16" t="s">
        <v>265</v>
      </c>
      <c r="AR4" s="16" t="s">
        <v>265</v>
      </c>
      <c r="AS4" s="16" t="s">
        <v>265</v>
      </c>
      <c r="AT4" s="16" t="s">
        <v>265</v>
      </c>
      <c r="AU4" s="16" t="s">
        <v>265</v>
      </c>
      <c r="AV4" s="16" t="s">
        <v>265</v>
      </c>
      <c r="AW4" s="16" t="s">
        <v>265</v>
      </c>
      <c r="AX4" s="16" t="s">
        <v>265</v>
      </c>
      <c r="AY4" s="16" t="s">
        <v>265</v>
      </c>
      <c r="AZ4" s="16" t="s">
        <v>265</v>
      </c>
      <c r="BA4" s="16" t="s">
        <v>265</v>
      </c>
      <c r="BB4" s="16" t="s">
        <v>265</v>
      </c>
      <c r="BC4" s="16" t="s">
        <v>265</v>
      </c>
      <c r="BD4" s="16" t="s">
        <v>265</v>
      </c>
      <c r="BE4" s="16" t="s">
        <v>265</v>
      </c>
    </row>
    <row r="5" customFormat="false" ht="12.8" hidden="false" customHeight="false" outlineLevel="0" collapsed="false">
      <c r="A5" s="1" t="s">
        <v>13</v>
      </c>
      <c r="B5" s="16" t="s">
        <v>265</v>
      </c>
      <c r="C5" s="16" t="s">
        <v>265</v>
      </c>
      <c r="D5" s="16" t="s">
        <v>265</v>
      </c>
      <c r="E5" s="16" t="s">
        <v>265</v>
      </c>
      <c r="F5" s="16" t="s">
        <v>265</v>
      </c>
      <c r="G5" s="16" t="s">
        <v>265</v>
      </c>
      <c r="H5" s="16" t="s">
        <v>265</v>
      </c>
      <c r="I5" s="16" t="s">
        <v>265</v>
      </c>
      <c r="J5" s="16" t="s">
        <v>265</v>
      </c>
      <c r="K5" s="16" t="s">
        <v>265</v>
      </c>
      <c r="L5" s="16" t="s">
        <v>265</v>
      </c>
      <c r="M5" s="16" t="s">
        <v>265</v>
      </c>
      <c r="N5" s="16" t="s">
        <v>265</v>
      </c>
      <c r="O5" s="16" t="s">
        <v>265</v>
      </c>
      <c r="P5" s="16" t="s">
        <v>265</v>
      </c>
      <c r="Q5" s="16" t="s">
        <v>265</v>
      </c>
      <c r="R5" s="16" t="s">
        <v>265</v>
      </c>
      <c r="S5" s="16" t="s">
        <v>265</v>
      </c>
      <c r="T5" s="16" t="s">
        <v>265</v>
      </c>
      <c r="U5" s="16" t="s">
        <v>265</v>
      </c>
      <c r="V5" s="16" t="s">
        <v>265</v>
      </c>
      <c r="W5" s="16" t="s">
        <v>265</v>
      </c>
      <c r="X5" s="16" t="s">
        <v>265</v>
      </c>
      <c r="Y5" s="16" t="s">
        <v>265</v>
      </c>
      <c r="Z5" s="16" t="s">
        <v>265</v>
      </c>
      <c r="AA5" s="16" t="s">
        <v>265</v>
      </c>
      <c r="AB5" s="16" t="s">
        <v>265</v>
      </c>
      <c r="AC5" s="16" t="s">
        <v>265</v>
      </c>
      <c r="AD5" s="16" t="s">
        <v>265</v>
      </c>
      <c r="AE5" s="16" t="s">
        <v>265</v>
      </c>
      <c r="AF5" s="16" t="s">
        <v>265</v>
      </c>
      <c r="AG5" s="16" t="s">
        <v>265</v>
      </c>
      <c r="AH5" s="16" t="s">
        <v>265</v>
      </c>
      <c r="AI5" s="16" t="s">
        <v>265</v>
      </c>
      <c r="AJ5" s="16" t="s">
        <v>265</v>
      </c>
      <c r="AK5" s="16" t="s">
        <v>265</v>
      </c>
      <c r="AL5" s="16" t="s">
        <v>265</v>
      </c>
      <c r="AM5" s="16" t="s">
        <v>265</v>
      </c>
      <c r="AN5" s="16" t="s">
        <v>265</v>
      </c>
      <c r="AO5" s="16" t="s">
        <v>265</v>
      </c>
      <c r="AP5" s="16" t="s">
        <v>265</v>
      </c>
      <c r="AQ5" s="16" t="s">
        <v>265</v>
      </c>
      <c r="AR5" s="16" t="s">
        <v>265</v>
      </c>
      <c r="AS5" s="16" t="s">
        <v>265</v>
      </c>
      <c r="AT5" s="16" t="s">
        <v>265</v>
      </c>
      <c r="AU5" s="16" t="s">
        <v>265</v>
      </c>
      <c r="AV5" s="16" t="s">
        <v>265</v>
      </c>
      <c r="AW5" s="16" t="s">
        <v>265</v>
      </c>
      <c r="AX5" s="16" t="s">
        <v>265</v>
      </c>
      <c r="AY5" s="16" t="s">
        <v>265</v>
      </c>
      <c r="AZ5" s="16" t="s">
        <v>265</v>
      </c>
      <c r="BA5" s="16" t="s">
        <v>265</v>
      </c>
      <c r="BB5" s="16" t="s">
        <v>265</v>
      </c>
      <c r="BC5" s="16" t="s">
        <v>265</v>
      </c>
      <c r="BD5" s="16" t="s">
        <v>265</v>
      </c>
      <c r="BE5" s="16" t="s">
        <v>265</v>
      </c>
    </row>
    <row r="6" customFormat="false" ht="12.8" hidden="false" customHeight="false" outlineLevel="0" collapsed="false">
      <c r="A6" s="1" t="s">
        <v>15</v>
      </c>
      <c r="B6" s="1" t="n">
        <v>0</v>
      </c>
      <c r="C6" s="1" t="n">
        <v>0</v>
      </c>
      <c r="D6" s="1" t="n">
        <v>41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4</v>
      </c>
      <c r="L6" s="1" t="n">
        <v>7</v>
      </c>
      <c r="M6" s="1" t="n">
        <v>377</v>
      </c>
      <c r="N6" s="1" t="n">
        <v>0</v>
      </c>
      <c r="O6" s="1" t="n">
        <v>40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12</v>
      </c>
      <c r="U6" s="1" t="n">
        <v>0</v>
      </c>
      <c r="V6" s="1" t="n">
        <v>0</v>
      </c>
      <c r="W6" s="1" t="n">
        <v>3</v>
      </c>
      <c r="X6" s="1" t="n">
        <v>2</v>
      </c>
      <c r="Y6" s="1" t="n">
        <v>1</v>
      </c>
      <c r="Z6" s="1" t="n">
        <v>0</v>
      </c>
      <c r="AA6" s="1" t="n">
        <v>23</v>
      </c>
      <c r="AB6" s="1" t="n">
        <v>1</v>
      </c>
      <c r="AC6" s="1" t="n">
        <v>0</v>
      </c>
      <c r="AD6" s="1" t="n">
        <v>4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3</v>
      </c>
      <c r="AS6" s="1" t="n">
        <v>0</v>
      </c>
      <c r="AT6" s="1" t="n">
        <v>5587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121</v>
      </c>
      <c r="BC6" s="1" t="n">
        <v>0</v>
      </c>
      <c r="BD6" s="1" t="n">
        <v>0</v>
      </c>
      <c r="BE6" s="1" t="n">
        <v>0</v>
      </c>
    </row>
    <row r="7" customFormat="false" ht="12.8" hidden="false" customHeight="false" outlineLevel="0" collapsed="false">
      <c r="A7" s="1" t="s">
        <v>16</v>
      </c>
      <c r="B7" s="16" t="s">
        <v>265</v>
      </c>
      <c r="C7" s="16" t="s">
        <v>265</v>
      </c>
      <c r="D7" s="16" t="s">
        <v>265</v>
      </c>
      <c r="E7" s="16" t="s">
        <v>265</v>
      </c>
      <c r="F7" s="16" t="s">
        <v>265</v>
      </c>
      <c r="G7" s="16" t="s">
        <v>265</v>
      </c>
      <c r="H7" s="16" t="s">
        <v>265</v>
      </c>
      <c r="I7" s="16" t="s">
        <v>265</v>
      </c>
      <c r="J7" s="16" t="s">
        <v>265</v>
      </c>
      <c r="K7" s="16" t="s">
        <v>265</v>
      </c>
      <c r="L7" s="16" t="s">
        <v>265</v>
      </c>
      <c r="M7" s="16" t="s">
        <v>265</v>
      </c>
      <c r="N7" s="16" t="s">
        <v>265</v>
      </c>
      <c r="O7" s="16" t="s">
        <v>265</v>
      </c>
      <c r="P7" s="16" t="s">
        <v>265</v>
      </c>
      <c r="Q7" s="16" t="s">
        <v>265</v>
      </c>
      <c r="R7" s="16" t="s">
        <v>265</v>
      </c>
      <c r="S7" s="16" t="s">
        <v>265</v>
      </c>
      <c r="T7" s="16" t="s">
        <v>265</v>
      </c>
      <c r="U7" s="16" t="s">
        <v>265</v>
      </c>
      <c r="V7" s="16" t="s">
        <v>265</v>
      </c>
      <c r="W7" s="16" t="s">
        <v>265</v>
      </c>
      <c r="X7" s="16" t="s">
        <v>265</v>
      </c>
      <c r="Y7" s="16" t="s">
        <v>265</v>
      </c>
      <c r="Z7" s="16" t="s">
        <v>265</v>
      </c>
      <c r="AA7" s="16" t="s">
        <v>265</v>
      </c>
      <c r="AB7" s="16" t="s">
        <v>265</v>
      </c>
      <c r="AC7" s="16" t="s">
        <v>265</v>
      </c>
      <c r="AD7" s="16" t="s">
        <v>265</v>
      </c>
      <c r="AE7" s="16" t="s">
        <v>265</v>
      </c>
      <c r="AF7" s="16" t="s">
        <v>265</v>
      </c>
      <c r="AG7" s="16" t="s">
        <v>265</v>
      </c>
      <c r="AH7" s="16" t="s">
        <v>265</v>
      </c>
      <c r="AI7" s="16" t="s">
        <v>265</v>
      </c>
      <c r="AJ7" s="16" t="s">
        <v>265</v>
      </c>
      <c r="AK7" s="16" t="s">
        <v>265</v>
      </c>
      <c r="AL7" s="16" t="s">
        <v>265</v>
      </c>
      <c r="AM7" s="16" t="s">
        <v>265</v>
      </c>
      <c r="AN7" s="16" t="s">
        <v>265</v>
      </c>
      <c r="AO7" s="16" t="s">
        <v>265</v>
      </c>
      <c r="AP7" s="16" t="s">
        <v>265</v>
      </c>
      <c r="AQ7" s="16" t="s">
        <v>265</v>
      </c>
      <c r="AR7" s="16" t="s">
        <v>265</v>
      </c>
      <c r="AS7" s="16" t="s">
        <v>265</v>
      </c>
      <c r="AT7" s="16" t="s">
        <v>265</v>
      </c>
      <c r="AU7" s="16" t="s">
        <v>265</v>
      </c>
      <c r="AV7" s="16" t="s">
        <v>265</v>
      </c>
      <c r="AW7" s="16" t="s">
        <v>265</v>
      </c>
      <c r="AX7" s="16" t="s">
        <v>265</v>
      </c>
      <c r="AY7" s="16" t="s">
        <v>265</v>
      </c>
      <c r="AZ7" s="16" t="s">
        <v>265</v>
      </c>
      <c r="BA7" s="16" t="s">
        <v>265</v>
      </c>
      <c r="BB7" s="16" t="s">
        <v>265</v>
      </c>
      <c r="BC7" s="16" t="s">
        <v>265</v>
      </c>
      <c r="BD7" s="16" t="s">
        <v>265</v>
      </c>
      <c r="BE7" s="16" t="s">
        <v>265</v>
      </c>
    </row>
    <row r="8" customFormat="false" ht="12.8" hidden="false" customHeight="false" outlineLevel="0" collapsed="false">
      <c r="A8" s="1" t="s">
        <v>17</v>
      </c>
      <c r="B8" s="16" t="s">
        <v>265</v>
      </c>
      <c r="C8" s="16" t="s">
        <v>265</v>
      </c>
      <c r="D8" s="16" t="s">
        <v>265</v>
      </c>
      <c r="E8" s="16" t="s">
        <v>265</v>
      </c>
      <c r="F8" s="16" t="s">
        <v>265</v>
      </c>
      <c r="G8" s="16" t="s">
        <v>265</v>
      </c>
      <c r="H8" s="16" t="s">
        <v>265</v>
      </c>
      <c r="I8" s="16" t="s">
        <v>265</v>
      </c>
      <c r="J8" s="16" t="s">
        <v>265</v>
      </c>
      <c r="K8" s="16" t="s">
        <v>265</v>
      </c>
      <c r="L8" s="16" t="s">
        <v>265</v>
      </c>
      <c r="M8" s="16" t="s">
        <v>265</v>
      </c>
      <c r="N8" s="16" t="s">
        <v>265</v>
      </c>
      <c r="O8" s="16" t="s">
        <v>265</v>
      </c>
      <c r="P8" s="16" t="s">
        <v>265</v>
      </c>
      <c r="Q8" s="16" t="s">
        <v>265</v>
      </c>
      <c r="R8" s="16" t="s">
        <v>265</v>
      </c>
      <c r="S8" s="16" t="s">
        <v>265</v>
      </c>
      <c r="T8" s="16" t="s">
        <v>265</v>
      </c>
      <c r="U8" s="16" t="s">
        <v>265</v>
      </c>
      <c r="V8" s="16" t="s">
        <v>265</v>
      </c>
      <c r="W8" s="16" t="s">
        <v>265</v>
      </c>
      <c r="X8" s="16" t="s">
        <v>265</v>
      </c>
      <c r="Y8" s="16" t="s">
        <v>265</v>
      </c>
      <c r="Z8" s="16" t="s">
        <v>265</v>
      </c>
      <c r="AA8" s="16" t="s">
        <v>265</v>
      </c>
      <c r="AB8" s="16" t="s">
        <v>265</v>
      </c>
      <c r="AC8" s="16" t="s">
        <v>265</v>
      </c>
      <c r="AD8" s="16" t="s">
        <v>265</v>
      </c>
      <c r="AE8" s="16" t="s">
        <v>265</v>
      </c>
      <c r="AF8" s="16" t="s">
        <v>265</v>
      </c>
      <c r="AG8" s="16" t="s">
        <v>265</v>
      </c>
      <c r="AH8" s="16" t="s">
        <v>265</v>
      </c>
      <c r="AI8" s="16" t="s">
        <v>265</v>
      </c>
      <c r="AJ8" s="16" t="s">
        <v>265</v>
      </c>
      <c r="AK8" s="16" t="s">
        <v>265</v>
      </c>
      <c r="AL8" s="16" t="s">
        <v>265</v>
      </c>
      <c r="AM8" s="16" t="s">
        <v>265</v>
      </c>
      <c r="AN8" s="16" t="s">
        <v>265</v>
      </c>
      <c r="AO8" s="16" t="s">
        <v>265</v>
      </c>
      <c r="AP8" s="16" t="s">
        <v>265</v>
      </c>
      <c r="AQ8" s="16" t="s">
        <v>265</v>
      </c>
      <c r="AR8" s="16" t="s">
        <v>265</v>
      </c>
      <c r="AS8" s="16" t="s">
        <v>265</v>
      </c>
      <c r="AT8" s="16" t="s">
        <v>265</v>
      </c>
      <c r="AU8" s="16" t="s">
        <v>265</v>
      </c>
      <c r="AV8" s="16" t="s">
        <v>265</v>
      </c>
      <c r="AW8" s="16" t="s">
        <v>265</v>
      </c>
      <c r="AX8" s="16" t="s">
        <v>265</v>
      </c>
      <c r="AY8" s="16" t="s">
        <v>265</v>
      </c>
      <c r="AZ8" s="16" t="s">
        <v>265</v>
      </c>
      <c r="BA8" s="16" t="s">
        <v>265</v>
      </c>
      <c r="BB8" s="16" t="s">
        <v>265</v>
      </c>
      <c r="BC8" s="16" t="s">
        <v>265</v>
      </c>
      <c r="BD8" s="16" t="s">
        <v>265</v>
      </c>
      <c r="BE8" s="16" t="s">
        <v>265</v>
      </c>
    </row>
    <row r="9" customFormat="false" ht="12.8" hidden="false" customHeight="false" outlineLevel="0" collapsed="false">
      <c r="A9" s="1" t="s">
        <v>19</v>
      </c>
      <c r="B9" s="1" t="n">
        <v>0</v>
      </c>
      <c r="C9" s="12" t="n">
        <v>0</v>
      </c>
      <c r="D9" s="12" t="n">
        <v>132</v>
      </c>
      <c r="E9" s="1" t="n">
        <v>0</v>
      </c>
      <c r="F9" s="1" t="n">
        <v>2205</v>
      </c>
      <c r="G9" s="1" t="n">
        <v>0</v>
      </c>
      <c r="H9" s="1" t="n">
        <v>0</v>
      </c>
      <c r="I9" s="1" t="n">
        <v>4650</v>
      </c>
      <c r="J9" s="1" t="n">
        <v>0</v>
      </c>
      <c r="K9" s="1" t="n">
        <v>0</v>
      </c>
      <c r="L9" s="1" t="n">
        <v>0</v>
      </c>
      <c r="M9" s="1" t="n">
        <v>222</v>
      </c>
      <c r="N9" s="1" t="n">
        <v>0</v>
      </c>
      <c r="O9" s="1" t="n">
        <v>339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279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15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60</v>
      </c>
      <c r="AS9" s="1" t="n">
        <v>1</v>
      </c>
      <c r="AT9" s="1" t="n">
        <v>435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</row>
    <row r="10" customFormat="false" ht="12.8" hidden="false" customHeight="false" outlineLevel="0" collapsed="false">
      <c r="A10" s="1" t="s">
        <v>20</v>
      </c>
      <c r="B10" s="16" t="s">
        <v>265</v>
      </c>
      <c r="C10" s="16" t="s">
        <v>265</v>
      </c>
      <c r="D10" s="16" t="s">
        <v>265</v>
      </c>
      <c r="E10" s="16" t="s">
        <v>265</v>
      </c>
      <c r="F10" s="16" t="s">
        <v>265</v>
      </c>
      <c r="G10" s="16" t="s">
        <v>265</v>
      </c>
      <c r="H10" s="16" t="s">
        <v>265</v>
      </c>
      <c r="I10" s="16" t="s">
        <v>265</v>
      </c>
      <c r="J10" s="16" t="s">
        <v>265</v>
      </c>
      <c r="K10" s="16" t="s">
        <v>265</v>
      </c>
      <c r="L10" s="16" t="s">
        <v>265</v>
      </c>
      <c r="M10" s="16" t="s">
        <v>265</v>
      </c>
      <c r="N10" s="16" t="s">
        <v>265</v>
      </c>
      <c r="O10" s="16" t="s">
        <v>265</v>
      </c>
      <c r="P10" s="16" t="s">
        <v>265</v>
      </c>
      <c r="Q10" s="16" t="s">
        <v>265</v>
      </c>
      <c r="R10" s="16" t="s">
        <v>265</v>
      </c>
      <c r="S10" s="16" t="s">
        <v>265</v>
      </c>
      <c r="T10" s="16" t="s">
        <v>265</v>
      </c>
      <c r="U10" s="16" t="s">
        <v>265</v>
      </c>
      <c r="V10" s="16" t="s">
        <v>265</v>
      </c>
      <c r="W10" s="16" t="s">
        <v>265</v>
      </c>
      <c r="X10" s="16" t="s">
        <v>265</v>
      </c>
      <c r="Y10" s="16" t="s">
        <v>265</v>
      </c>
      <c r="Z10" s="16" t="s">
        <v>265</v>
      </c>
      <c r="AA10" s="16" t="s">
        <v>265</v>
      </c>
      <c r="AB10" s="16" t="s">
        <v>265</v>
      </c>
      <c r="AC10" s="16" t="s">
        <v>265</v>
      </c>
      <c r="AD10" s="16" t="s">
        <v>265</v>
      </c>
      <c r="AE10" s="16" t="s">
        <v>265</v>
      </c>
      <c r="AF10" s="16" t="s">
        <v>265</v>
      </c>
      <c r="AG10" s="16" t="s">
        <v>265</v>
      </c>
      <c r="AH10" s="16" t="s">
        <v>265</v>
      </c>
      <c r="AI10" s="16" t="s">
        <v>265</v>
      </c>
      <c r="AJ10" s="16" t="s">
        <v>265</v>
      </c>
      <c r="AK10" s="16" t="s">
        <v>265</v>
      </c>
      <c r="AL10" s="16" t="s">
        <v>265</v>
      </c>
      <c r="AM10" s="16" t="s">
        <v>265</v>
      </c>
      <c r="AN10" s="16" t="s">
        <v>265</v>
      </c>
      <c r="AO10" s="16" t="s">
        <v>265</v>
      </c>
      <c r="AP10" s="16" t="s">
        <v>265</v>
      </c>
      <c r="AQ10" s="16" t="s">
        <v>265</v>
      </c>
      <c r="AR10" s="16" t="s">
        <v>265</v>
      </c>
      <c r="AS10" s="16" t="s">
        <v>265</v>
      </c>
      <c r="AT10" s="16" t="s">
        <v>265</v>
      </c>
      <c r="AU10" s="16" t="s">
        <v>265</v>
      </c>
      <c r="AV10" s="16" t="s">
        <v>265</v>
      </c>
      <c r="AW10" s="16" t="s">
        <v>265</v>
      </c>
      <c r="AX10" s="16" t="s">
        <v>265</v>
      </c>
      <c r="AY10" s="16" t="s">
        <v>265</v>
      </c>
      <c r="AZ10" s="16" t="s">
        <v>265</v>
      </c>
      <c r="BA10" s="16" t="s">
        <v>265</v>
      </c>
      <c r="BB10" s="16" t="s">
        <v>265</v>
      </c>
      <c r="BC10" s="16" t="s">
        <v>265</v>
      </c>
      <c r="BD10" s="16" t="s">
        <v>265</v>
      </c>
      <c r="BE10" s="16" t="s">
        <v>265</v>
      </c>
    </row>
    <row r="11" customFormat="false" ht="12.8" hidden="false" customHeight="false" outlineLevel="0" collapsed="false">
      <c r="A11" s="1" t="s">
        <v>21</v>
      </c>
      <c r="B11" s="16" t="s">
        <v>265</v>
      </c>
      <c r="C11" s="16" t="s">
        <v>265</v>
      </c>
      <c r="D11" s="16" t="s">
        <v>265</v>
      </c>
      <c r="E11" s="16" t="s">
        <v>265</v>
      </c>
      <c r="F11" s="16" t="s">
        <v>265</v>
      </c>
      <c r="G11" s="16" t="s">
        <v>265</v>
      </c>
      <c r="H11" s="16" t="s">
        <v>265</v>
      </c>
      <c r="I11" s="16" t="s">
        <v>265</v>
      </c>
      <c r="J11" s="16" t="s">
        <v>265</v>
      </c>
      <c r="K11" s="16" t="s">
        <v>265</v>
      </c>
      <c r="L11" s="16" t="s">
        <v>265</v>
      </c>
      <c r="M11" s="16" t="s">
        <v>265</v>
      </c>
      <c r="N11" s="16" t="s">
        <v>265</v>
      </c>
      <c r="O11" s="16" t="s">
        <v>265</v>
      </c>
      <c r="P11" s="16" t="s">
        <v>265</v>
      </c>
      <c r="Q11" s="16" t="s">
        <v>265</v>
      </c>
      <c r="R11" s="16" t="s">
        <v>265</v>
      </c>
      <c r="S11" s="16" t="s">
        <v>265</v>
      </c>
      <c r="T11" s="16" t="s">
        <v>265</v>
      </c>
      <c r="U11" s="16" t="s">
        <v>265</v>
      </c>
      <c r="V11" s="16" t="s">
        <v>265</v>
      </c>
      <c r="W11" s="16" t="s">
        <v>265</v>
      </c>
      <c r="X11" s="16" t="s">
        <v>265</v>
      </c>
      <c r="Y11" s="16" t="s">
        <v>265</v>
      </c>
      <c r="Z11" s="16" t="s">
        <v>265</v>
      </c>
      <c r="AA11" s="16" t="s">
        <v>265</v>
      </c>
      <c r="AB11" s="16" t="s">
        <v>265</v>
      </c>
      <c r="AC11" s="16" t="s">
        <v>265</v>
      </c>
      <c r="AD11" s="16" t="s">
        <v>265</v>
      </c>
      <c r="AE11" s="16" t="s">
        <v>265</v>
      </c>
      <c r="AF11" s="16" t="s">
        <v>265</v>
      </c>
      <c r="AG11" s="16" t="s">
        <v>265</v>
      </c>
      <c r="AH11" s="16" t="s">
        <v>265</v>
      </c>
      <c r="AI11" s="16" t="s">
        <v>265</v>
      </c>
      <c r="AJ11" s="16" t="s">
        <v>265</v>
      </c>
      <c r="AK11" s="16" t="s">
        <v>265</v>
      </c>
      <c r="AL11" s="16" t="s">
        <v>265</v>
      </c>
      <c r="AM11" s="16" t="s">
        <v>265</v>
      </c>
      <c r="AN11" s="16" t="s">
        <v>265</v>
      </c>
      <c r="AO11" s="16" t="s">
        <v>265</v>
      </c>
      <c r="AP11" s="16" t="s">
        <v>265</v>
      </c>
      <c r="AQ11" s="16" t="s">
        <v>265</v>
      </c>
      <c r="AR11" s="16" t="s">
        <v>265</v>
      </c>
      <c r="AS11" s="16" t="s">
        <v>265</v>
      </c>
      <c r="AT11" s="16" t="s">
        <v>265</v>
      </c>
      <c r="AU11" s="16" t="s">
        <v>265</v>
      </c>
      <c r="AV11" s="16" t="s">
        <v>265</v>
      </c>
      <c r="AW11" s="16" t="s">
        <v>265</v>
      </c>
      <c r="AX11" s="16" t="s">
        <v>265</v>
      </c>
      <c r="AY11" s="16" t="s">
        <v>265</v>
      </c>
      <c r="AZ11" s="16" t="s">
        <v>265</v>
      </c>
      <c r="BA11" s="16" t="s">
        <v>265</v>
      </c>
      <c r="BB11" s="16" t="s">
        <v>265</v>
      </c>
      <c r="BC11" s="16" t="s">
        <v>265</v>
      </c>
      <c r="BD11" s="16" t="s">
        <v>265</v>
      </c>
      <c r="BE11" s="16" t="s">
        <v>265</v>
      </c>
    </row>
    <row r="12" customFormat="false" ht="12.8" hidden="false" customHeight="false" outlineLevel="0" collapsed="false">
      <c r="A12" s="1" t="s">
        <v>23</v>
      </c>
      <c r="B12" s="1" t="n">
        <v>0</v>
      </c>
      <c r="C12" s="1" t="n">
        <v>0</v>
      </c>
      <c r="D12" s="1" t="n">
        <v>12</v>
      </c>
      <c r="E12" s="1" t="n">
        <v>0</v>
      </c>
      <c r="F12" s="1" t="n">
        <v>326</v>
      </c>
      <c r="G12" s="1" t="n">
        <v>0</v>
      </c>
      <c r="H12" s="1" t="n">
        <v>0</v>
      </c>
      <c r="I12" s="1" t="n">
        <v>1210</v>
      </c>
      <c r="J12" s="1" t="n">
        <v>0</v>
      </c>
      <c r="K12" s="1" t="n">
        <v>2</v>
      </c>
      <c r="L12" s="1" t="n">
        <v>0</v>
      </c>
      <c r="M12" s="1" t="n">
        <v>20</v>
      </c>
      <c r="N12" s="1" t="n">
        <v>0</v>
      </c>
      <c r="O12" s="1" t="n">
        <v>36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19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1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3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82</v>
      </c>
      <c r="AS12" s="1" t="n">
        <v>2</v>
      </c>
      <c r="AT12" s="1" t="n">
        <v>31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1</v>
      </c>
      <c r="BB12" s="1" t="n">
        <v>1</v>
      </c>
      <c r="BC12" s="1" t="n">
        <v>0</v>
      </c>
      <c r="BD12" s="1" t="n">
        <v>0</v>
      </c>
      <c r="BE12" s="1" t="n">
        <v>0</v>
      </c>
    </row>
    <row r="13" customFormat="false" ht="12.8" hidden="false" customHeight="false" outlineLevel="0" collapsed="false">
      <c r="A13" s="1" t="s">
        <v>24</v>
      </c>
      <c r="B13" s="16" t="s">
        <v>265</v>
      </c>
      <c r="C13" s="16" t="s">
        <v>265</v>
      </c>
      <c r="D13" s="16" t="s">
        <v>265</v>
      </c>
      <c r="E13" s="16" t="s">
        <v>265</v>
      </c>
      <c r="F13" s="16" t="s">
        <v>265</v>
      </c>
      <c r="G13" s="16" t="s">
        <v>265</v>
      </c>
      <c r="H13" s="16" t="s">
        <v>265</v>
      </c>
      <c r="I13" s="16" t="s">
        <v>265</v>
      </c>
      <c r="J13" s="16" t="s">
        <v>265</v>
      </c>
      <c r="K13" s="16" t="s">
        <v>265</v>
      </c>
      <c r="L13" s="16" t="s">
        <v>265</v>
      </c>
      <c r="M13" s="16" t="s">
        <v>265</v>
      </c>
      <c r="N13" s="16" t="s">
        <v>265</v>
      </c>
      <c r="O13" s="16" t="s">
        <v>265</v>
      </c>
      <c r="P13" s="16" t="s">
        <v>265</v>
      </c>
      <c r="Q13" s="16" t="s">
        <v>265</v>
      </c>
      <c r="R13" s="16" t="s">
        <v>265</v>
      </c>
      <c r="S13" s="16" t="s">
        <v>265</v>
      </c>
      <c r="T13" s="16" t="s">
        <v>265</v>
      </c>
      <c r="U13" s="16" t="s">
        <v>265</v>
      </c>
      <c r="V13" s="16" t="s">
        <v>265</v>
      </c>
      <c r="W13" s="16" t="s">
        <v>265</v>
      </c>
      <c r="X13" s="16" t="s">
        <v>265</v>
      </c>
      <c r="Y13" s="16" t="s">
        <v>265</v>
      </c>
      <c r="Z13" s="16" t="s">
        <v>265</v>
      </c>
      <c r="AA13" s="16" t="s">
        <v>265</v>
      </c>
      <c r="AB13" s="16" t="s">
        <v>265</v>
      </c>
      <c r="AC13" s="16" t="s">
        <v>265</v>
      </c>
      <c r="AD13" s="16" t="s">
        <v>265</v>
      </c>
      <c r="AE13" s="16" t="s">
        <v>265</v>
      </c>
      <c r="AF13" s="16" t="s">
        <v>265</v>
      </c>
      <c r="AG13" s="16" t="s">
        <v>265</v>
      </c>
      <c r="AH13" s="16" t="s">
        <v>265</v>
      </c>
      <c r="AI13" s="16" t="s">
        <v>265</v>
      </c>
      <c r="AJ13" s="16" t="s">
        <v>265</v>
      </c>
      <c r="AK13" s="16" t="s">
        <v>265</v>
      </c>
      <c r="AL13" s="16" t="s">
        <v>265</v>
      </c>
      <c r="AM13" s="16" t="s">
        <v>265</v>
      </c>
      <c r="AN13" s="16" t="s">
        <v>265</v>
      </c>
      <c r="AO13" s="16" t="s">
        <v>265</v>
      </c>
      <c r="AP13" s="16" t="s">
        <v>265</v>
      </c>
      <c r="AQ13" s="16" t="s">
        <v>265</v>
      </c>
      <c r="AR13" s="16" t="s">
        <v>265</v>
      </c>
      <c r="AS13" s="16" t="s">
        <v>265</v>
      </c>
      <c r="AT13" s="16" t="s">
        <v>265</v>
      </c>
      <c r="AU13" s="16" t="s">
        <v>265</v>
      </c>
      <c r="AV13" s="16" t="s">
        <v>265</v>
      </c>
      <c r="AW13" s="16" t="s">
        <v>265</v>
      </c>
      <c r="AX13" s="16" t="s">
        <v>265</v>
      </c>
      <c r="AY13" s="16" t="s">
        <v>265</v>
      </c>
      <c r="AZ13" s="16" t="s">
        <v>265</v>
      </c>
      <c r="BA13" s="16" t="s">
        <v>265</v>
      </c>
      <c r="BB13" s="16" t="s">
        <v>265</v>
      </c>
      <c r="BC13" s="16" t="s">
        <v>265</v>
      </c>
      <c r="BD13" s="16" t="s">
        <v>265</v>
      </c>
      <c r="BE13" s="16" t="s">
        <v>265</v>
      </c>
      <c r="BH13" s="4"/>
    </row>
    <row r="14" customFormat="false" ht="12.8" hidden="false" customHeight="false" outlineLevel="0" collapsed="false">
      <c r="A14" s="1" t="s">
        <v>25</v>
      </c>
      <c r="B14" s="16" t="s">
        <v>265</v>
      </c>
      <c r="C14" s="16" t="s">
        <v>265</v>
      </c>
      <c r="D14" s="16" t="s">
        <v>265</v>
      </c>
      <c r="E14" s="16" t="s">
        <v>265</v>
      </c>
      <c r="F14" s="16" t="s">
        <v>265</v>
      </c>
      <c r="G14" s="16" t="s">
        <v>265</v>
      </c>
      <c r="H14" s="16" t="s">
        <v>265</v>
      </c>
      <c r="I14" s="16" t="s">
        <v>265</v>
      </c>
      <c r="J14" s="16" t="s">
        <v>265</v>
      </c>
      <c r="K14" s="16" t="s">
        <v>265</v>
      </c>
      <c r="L14" s="16" t="s">
        <v>265</v>
      </c>
      <c r="M14" s="16" t="s">
        <v>265</v>
      </c>
      <c r="N14" s="16" t="s">
        <v>265</v>
      </c>
      <c r="O14" s="16" t="s">
        <v>265</v>
      </c>
      <c r="P14" s="16" t="s">
        <v>265</v>
      </c>
      <c r="Q14" s="16" t="s">
        <v>265</v>
      </c>
      <c r="R14" s="16" t="s">
        <v>265</v>
      </c>
      <c r="S14" s="16" t="s">
        <v>265</v>
      </c>
      <c r="T14" s="16" t="s">
        <v>265</v>
      </c>
      <c r="U14" s="16" t="s">
        <v>265</v>
      </c>
      <c r="V14" s="16" t="s">
        <v>265</v>
      </c>
      <c r="W14" s="16" t="s">
        <v>265</v>
      </c>
      <c r="X14" s="16" t="s">
        <v>265</v>
      </c>
      <c r="Y14" s="16" t="s">
        <v>265</v>
      </c>
      <c r="Z14" s="16" t="s">
        <v>265</v>
      </c>
      <c r="AA14" s="16" t="s">
        <v>265</v>
      </c>
      <c r="AB14" s="16" t="s">
        <v>265</v>
      </c>
      <c r="AC14" s="16" t="s">
        <v>265</v>
      </c>
      <c r="AD14" s="16" t="s">
        <v>265</v>
      </c>
      <c r="AE14" s="16" t="s">
        <v>265</v>
      </c>
      <c r="AF14" s="16" t="s">
        <v>265</v>
      </c>
      <c r="AG14" s="16" t="s">
        <v>265</v>
      </c>
      <c r="AH14" s="16" t="s">
        <v>265</v>
      </c>
      <c r="AI14" s="16" t="s">
        <v>265</v>
      </c>
      <c r="AJ14" s="16" t="s">
        <v>265</v>
      </c>
      <c r="AK14" s="16" t="s">
        <v>265</v>
      </c>
      <c r="AL14" s="16" t="s">
        <v>265</v>
      </c>
      <c r="AM14" s="16" t="s">
        <v>265</v>
      </c>
      <c r="AN14" s="16" t="s">
        <v>265</v>
      </c>
      <c r="AO14" s="16" t="s">
        <v>265</v>
      </c>
      <c r="AP14" s="16" t="s">
        <v>265</v>
      </c>
      <c r="AQ14" s="16" t="s">
        <v>265</v>
      </c>
      <c r="AR14" s="16" t="s">
        <v>265</v>
      </c>
      <c r="AS14" s="16" t="s">
        <v>265</v>
      </c>
      <c r="AT14" s="16" t="s">
        <v>265</v>
      </c>
      <c r="AU14" s="16" t="s">
        <v>265</v>
      </c>
      <c r="AV14" s="16" t="s">
        <v>265</v>
      </c>
      <c r="AW14" s="16" t="s">
        <v>265</v>
      </c>
      <c r="AX14" s="16" t="s">
        <v>265</v>
      </c>
      <c r="AY14" s="16" t="s">
        <v>265</v>
      </c>
      <c r="AZ14" s="16" t="s">
        <v>265</v>
      </c>
      <c r="BA14" s="16" t="s">
        <v>265</v>
      </c>
      <c r="BB14" s="16" t="s">
        <v>265</v>
      </c>
      <c r="BC14" s="16" t="s">
        <v>265</v>
      </c>
      <c r="BD14" s="16" t="s">
        <v>265</v>
      </c>
      <c r="BE14" s="16" t="s">
        <v>265</v>
      </c>
    </row>
    <row r="15" customFormat="false" ht="12.8" hidden="false" customHeight="false" outlineLevel="0" collapsed="false">
      <c r="A15" s="1" t="s">
        <v>27</v>
      </c>
      <c r="B15" s="1" t="n">
        <v>1</v>
      </c>
      <c r="C15" s="1" t="n">
        <v>0</v>
      </c>
      <c r="D15" s="1" t="n">
        <v>50</v>
      </c>
      <c r="E15" s="1" t="n">
        <v>0</v>
      </c>
      <c r="F15" s="1" t="n">
        <v>168</v>
      </c>
      <c r="G15" s="1" t="n">
        <v>0</v>
      </c>
      <c r="H15" s="1" t="n">
        <v>0</v>
      </c>
      <c r="I15" s="1" t="n">
        <v>215</v>
      </c>
      <c r="J15" s="1" t="n">
        <v>0</v>
      </c>
      <c r="K15" s="1" t="n">
        <v>3</v>
      </c>
      <c r="L15" s="1" t="n">
        <v>0</v>
      </c>
      <c r="M15" s="1" t="n">
        <v>16</v>
      </c>
      <c r="N15" s="1" t="n">
        <v>0</v>
      </c>
      <c r="O15" s="1" t="n">
        <v>19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21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1</v>
      </c>
      <c r="AD15" s="1" t="n">
        <v>5</v>
      </c>
      <c r="AE15" s="1" t="n">
        <v>0</v>
      </c>
      <c r="AF15" s="1" t="n">
        <v>26</v>
      </c>
      <c r="AG15" s="1" t="n">
        <v>0</v>
      </c>
      <c r="AH15" s="1" t="n">
        <v>0</v>
      </c>
      <c r="AI15" s="1" t="n">
        <v>2</v>
      </c>
      <c r="AJ15" s="1" t="n">
        <v>42</v>
      </c>
      <c r="AK15" s="1" t="n">
        <v>0</v>
      </c>
      <c r="AL15" s="1" t="n">
        <v>3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1</v>
      </c>
      <c r="AR15" s="1" t="n">
        <v>24</v>
      </c>
      <c r="AS15" s="1" t="n">
        <v>0</v>
      </c>
      <c r="AT15" s="1" t="n">
        <v>22</v>
      </c>
      <c r="AU15" s="1" t="n">
        <v>0</v>
      </c>
      <c r="AV15" s="1" t="n">
        <v>0</v>
      </c>
      <c r="AW15" s="1" t="n">
        <v>1</v>
      </c>
      <c r="AX15" s="1" t="n">
        <v>17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6</v>
      </c>
      <c r="BD15" s="1" t="n">
        <v>0</v>
      </c>
      <c r="BE15" s="1" t="n">
        <v>0</v>
      </c>
      <c r="BH15" s="4"/>
    </row>
    <row r="16" customFormat="false" ht="12.8" hidden="false" customHeight="false" outlineLevel="0" collapsed="false">
      <c r="A16" s="1" t="s">
        <v>28</v>
      </c>
      <c r="B16" s="16" t="s">
        <v>265</v>
      </c>
      <c r="C16" s="16" t="s">
        <v>265</v>
      </c>
      <c r="D16" s="16" t="s">
        <v>265</v>
      </c>
      <c r="E16" s="16" t="s">
        <v>265</v>
      </c>
      <c r="F16" s="16" t="s">
        <v>265</v>
      </c>
      <c r="G16" s="16" t="s">
        <v>265</v>
      </c>
      <c r="H16" s="16" t="s">
        <v>265</v>
      </c>
      <c r="I16" s="16" t="s">
        <v>265</v>
      </c>
      <c r="J16" s="16" t="s">
        <v>265</v>
      </c>
      <c r="K16" s="16" t="s">
        <v>265</v>
      </c>
      <c r="L16" s="16" t="s">
        <v>265</v>
      </c>
      <c r="M16" s="16" t="s">
        <v>265</v>
      </c>
      <c r="N16" s="16" t="s">
        <v>265</v>
      </c>
      <c r="O16" s="16" t="s">
        <v>265</v>
      </c>
      <c r="P16" s="16" t="s">
        <v>265</v>
      </c>
      <c r="Q16" s="16" t="s">
        <v>265</v>
      </c>
      <c r="R16" s="16" t="s">
        <v>265</v>
      </c>
      <c r="S16" s="16" t="s">
        <v>265</v>
      </c>
      <c r="T16" s="16" t="s">
        <v>265</v>
      </c>
      <c r="U16" s="16" t="s">
        <v>265</v>
      </c>
      <c r="V16" s="16" t="s">
        <v>265</v>
      </c>
      <c r="W16" s="16" t="s">
        <v>265</v>
      </c>
      <c r="X16" s="16" t="s">
        <v>265</v>
      </c>
      <c r="Y16" s="16" t="s">
        <v>265</v>
      </c>
      <c r="Z16" s="16" t="s">
        <v>265</v>
      </c>
      <c r="AA16" s="16" t="s">
        <v>265</v>
      </c>
      <c r="AB16" s="16" t="s">
        <v>265</v>
      </c>
      <c r="AC16" s="16" t="s">
        <v>265</v>
      </c>
      <c r="AD16" s="16" t="s">
        <v>265</v>
      </c>
      <c r="AE16" s="16" t="s">
        <v>265</v>
      </c>
      <c r="AF16" s="16" t="s">
        <v>265</v>
      </c>
      <c r="AG16" s="16" t="s">
        <v>265</v>
      </c>
      <c r="AH16" s="16" t="s">
        <v>265</v>
      </c>
      <c r="AI16" s="16" t="s">
        <v>265</v>
      </c>
      <c r="AJ16" s="16" t="s">
        <v>265</v>
      </c>
      <c r="AK16" s="16" t="s">
        <v>265</v>
      </c>
      <c r="AL16" s="16" t="s">
        <v>265</v>
      </c>
      <c r="AM16" s="16" t="s">
        <v>265</v>
      </c>
      <c r="AN16" s="16" t="s">
        <v>265</v>
      </c>
      <c r="AO16" s="16" t="s">
        <v>265</v>
      </c>
      <c r="AP16" s="16" t="s">
        <v>265</v>
      </c>
      <c r="AQ16" s="16" t="s">
        <v>265</v>
      </c>
      <c r="AR16" s="16" t="s">
        <v>265</v>
      </c>
      <c r="AS16" s="16" t="s">
        <v>265</v>
      </c>
      <c r="AT16" s="16" t="s">
        <v>265</v>
      </c>
      <c r="AU16" s="16" t="s">
        <v>265</v>
      </c>
      <c r="AV16" s="16" t="s">
        <v>265</v>
      </c>
      <c r="AW16" s="16" t="s">
        <v>265</v>
      </c>
      <c r="AX16" s="16" t="s">
        <v>265</v>
      </c>
      <c r="AY16" s="16" t="s">
        <v>265</v>
      </c>
      <c r="AZ16" s="16" t="s">
        <v>265</v>
      </c>
      <c r="BA16" s="16" t="s">
        <v>265</v>
      </c>
      <c r="BB16" s="16" t="s">
        <v>265</v>
      </c>
      <c r="BC16" s="16" t="s">
        <v>265</v>
      </c>
      <c r="BD16" s="16" t="s">
        <v>265</v>
      </c>
      <c r="BE16" s="16" t="s">
        <v>265</v>
      </c>
    </row>
    <row r="17" customFormat="false" ht="12.8" hidden="false" customHeight="false" outlineLevel="0" collapsed="false">
      <c r="A17" s="1" t="s">
        <v>29</v>
      </c>
      <c r="B17" s="16" t="s">
        <v>265</v>
      </c>
      <c r="C17" s="16" t="s">
        <v>265</v>
      </c>
      <c r="D17" s="16" t="s">
        <v>265</v>
      </c>
      <c r="E17" s="16" t="s">
        <v>265</v>
      </c>
      <c r="F17" s="16" t="s">
        <v>265</v>
      </c>
      <c r="G17" s="16" t="s">
        <v>265</v>
      </c>
      <c r="H17" s="16" t="s">
        <v>265</v>
      </c>
      <c r="I17" s="16" t="s">
        <v>265</v>
      </c>
      <c r="J17" s="16" t="s">
        <v>265</v>
      </c>
      <c r="K17" s="16" t="s">
        <v>265</v>
      </c>
      <c r="L17" s="16" t="s">
        <v>265</v>
      </c>
      <c r="M17" s="16" t="s">
        <v>265</v>
      </c>
      <c r="N17" s="16" t="s">
        <v>265</v>
      </c>
      <c r="O17" s="16" t="s">
        <v>265</v>
      </c>
      <c r="P17" s="16" t="s">
        <v>265</v>
      </c>
      <c r="Q17" s="16" t="s">
        <v>265</v>
      </c>
      <c r="R17" s="16" t="s">
        <v>265</v>
      </c>
      <c r="S17" s="16" t="s">
        <v>265</v>
      </c>
      <c r="T17" s="16" t="s">
        <v>265</v>
      </c>
      <c r="U17" s="16" t="s">
        <v>265</v>
      </c>
      <c r="V17" s="16" t="s">
        <v>265</v>
      </c>
      <c r="W17" s="16" t="s">
        <v>265</v>
      </c>
      <c r="X17" s="16" t="s">
        <v>265</v>
      </c>
      <c r="Y17" s="16" t="s">
        <v>265</v>
      </c>
      <c r="Z17" s="16" t="s">
        <v>265</v>
      </c>
      <c r="AA17" s="16" t="s">
        <v>265</v>
      </c>
      <c r="AB17" s="16" t="s">
        <v>265</v>
      </c>
      <c r="AC17" s="16" t="s">
        <v>265</v>
      </c>
      <c r="AD17" s="16" t="s">
        <v>265</v>
      </c>
      <c r="AE17" s="16" t="s">
        <v>265</v>
      </c>
      <c r="AF17" s="16" t="s">
        <v>265</v>
      </c>
      <c r="AG17" s="16" t="s">
        <v>265</v>
      </c>
      <c r="AH17" s="16" t="s">
        <v>265</v>
      </c>
      <c r="AI17" s="16" t="s">
        <v>265</v>
      </c>
      <c r="AJ17" s="16" t="s">
        <v>265</v>
      </c>
      <c r="AK17" s="16" t="s">
        <v>265</v>
      </c>
      <c r="AL17" s="16" t="s">
        <v>265</v>
      </c>
      <c r="AM17" s="16" t="s">
        <v>265</v>
      </c>
      <c r="AN17" s="16" t="s">
        <v>265</v>
      </c>
      <c r="AO17" s="16" t="s">
        <v>265</v>
      </c>
      <c r="AP17" s="16" t="s">
        <v>265</v>
      </c>
      <c r="AQ17" s="16" t="s">
        <v>265</v>
      </c>
      <c r="AR17" s="16" t="s">
        <v>265</v>
      </c>
      <c r="AS17" s="16" t="s">
        <v>265</v>
      </c>
      <c r="AT17" s="16" t="s">
        <v>265</v>
      </c>
      <c r="AU17" s="16" t="s">
        <v>265</v>
      </c>
      <c r="AV17" s="16" t="s">
        <v>265</v>
      </c>
      <c r="AW17" s="16" t="s">
        <v>265</v>
      </c>
      <c r="AX17" s="16" t="s">
        <v>265</v>
      </c>
      <c r="AY17" s="16" t="s">
        <v>265</v>
      </c>
      <c r="AZ17" s="16" t="s">
        <v>265</v>
      </c>
      <c r="BA17" s="16" t="s">
        <v>265</v>
      </c>
      <c r="BB17" s="16" t="s">
        <v>265</v>
      </c>
      <c r="BC17" s="16" t="s">
        <v>265</v>
      </c>
      <c r="BD17" s="16" t="s">
        <v>265</v>
      </c>
      <c r="BE17" s="16" t="s">
        <v>265</v>
      </c>
      <c r="BH17" s="4"/>
    </row>
    <row r="18" customFormat="false" ht="12.8" hidden="false" customHeight="false" outlineLevel="0" collapsed="false">
      <c r="A18" s="1" t="s">
        <v>31</v>
      </c>
      <c r="B18" s="1" t="n">
        <v>2</v>
      </c>
      <c r="C18" s="12" t="n">
        <v>0</v>
      </c>
      <c r="D18" s="12" t="n">
        <v>1</v>
      </c>
      <c r="E18" s="1" t="n">
        <v>0</v>
      </c>
      <c r="F18" s="1" t="n">
        <v>38</v>
      </c>
      <c r="G18" s="1" t="n">
        <v>0</v>
      </c>
      <c r="H18" s="1" t="n">
        <v>0</v>
      </c>
      <c r="I18" s="1" t="n">
        <v>40</v>
      </c>
      <c r="J18" s="1" t="n">
        <v>0</v>
      </c>
      <c r="K18" s="1" t="n">
        <v>0</v>
      </c>
      <c r="L18" s="1" t="n">
        <v>0</v>
      </c>
      <c r="M18" s="1" t="n">
        <v>5</v>
      </c>
      <c r="N18" s="1" t="n">
        <v>2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5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1</v>
      </c>
      <c r="AE18" s="1" t="n">
        <v>0</v>
      </c>
      <c r="AF18" s="1" t="n">
        <v>2</v>
      </c>
      <c r="AG18" s="1" t="n">
        <v>2</v>
      </c>
      <c r="AH18" s="1" t="n">
        <v>0</v>
      </c>
      <c r="AI18" s="1" t="n">
        <v>1</v>
      </c>
      <c r="AJ18" s="1" t="n">
        <v>11</v>
      </c>
      <c r="AK18" s="1" t="n">
        <v>0</v>
      </c>
      <c r="AL18" s="1" t="n">
        <v>2</v>
      </c>
      <c r="AM18" s="12" t="n">
        <v>0</v>
      </c>
      <c r="AN18" s="12" t="n">
        <v>1</v>
      </c>
      <c r="AO18" s="12" t="n">
        <v>0</v>
      </c>
      <c r="AP18" s="12" t="n">
        <v>0</v>
      </c>
      <c r="AQ18" s="12" t="n">
        <v>0</v>
      </c>
      <c r="AR18" s="1" t="n">
        <v>8</v>
      </c>
      <c r="AS18" s="1" t="n">
        <v>1</v>
      </c>
      <c r="AT18" s="1" t="n">
        <v>11</v>
      </c>
      <c r="AU18" s="1" t="n">
        <v>0</v>
      </c>
      <c r="AV18" s="1" t="n">
        <v>0</v>
      </c>
      <c r="AW18" s="1" t="n">
        <v>0</v>
      </c>
      <c r="AX18" s="1" t="n">
        <v>3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8</v>
      </c>
      <c r="BD18" s="1" t="n">
        <v>0</v>
      </c>
      <c r="BE18" s="1" t="n">
        <v>0</v>
      </c>
    </row>
    <row r="19" customFormat="false" ht="12.8" hidden="false" customHeight="false" outlineLevel="0" collapsed="false">
      <c r="A19" s="1" t="s">
        <v>32</v>
      </c>
      <c r="B19" s="16" t="s">
        <v>265</v>
      </c>
      <c r="C19" s="16" t="s">
        <v>265</v>
      </c>
      <c r="D19" s="16" t="s">
        <v>265</v>
      </c>
      <c r="E19" s="16" t="s">
        <v>265</v>
      </c>
      <c r="F19" s="16" t="s">
        <v>265</v>
      </c>
      <c r="G19" s="16" t="s">
        <v>265</v>
      </c>
      <c r="H19" s="16" t="s">
        <v>265</v>
      </c>
      <c r="I19" s="16" t="s">
        <v>265</v>
      </c>
      <c r="J19" s="16" t="s">
        <v>265</v>
      </c>
      <c r="K19" s="16" t="s">
        <v>265</v>
      </c>
      <c r="L19" s="16" t="s">
        <v>265</v>
      </c>
      <c r="M19" s="16" t="s">
        <v>265</v>
      </c>
      <c r="N19" s="16" t="s">
        <v>265</v>
      </c>
      <c r="O19" s="16" t="s">
        <v>265</v>
      </c>
      <c r="P19" s="16" t="s">
        <v>265</v>
      </c>
      <c r="Q19" s="16" t="s">
        <v>265</v>
      </c>
      <c r="R19" s="16" t="s">
        <v>265</v>
      </c>
      <c r="S19" s="16" t="s">
        <v>265</v>
      </c>
      <c r="T19" s="16" t="s">
        <v>265</v>
      </c>
      <c r="U19" s="16" t="s">
        <v>265</v>
      </c>
      <c r="V19" s="16" t="s">
        <v>265</v>
      </c>
      <c r="W19" s="16" t="s">
        <v>265</v>
      </c>
      <c r="X19" s="16" t="s">
        <v>265</v>
      </c>
      <c r="Y19" s="16" t="s">
        <v>265</v>
      </c>
      <c r="Z19" s="16" t="s">
        <v>265</v>
      </c>
      <c r="AA19" s="16" t="s">
        <v>265</v>
      </c>
      <c r="AB19" s="16" t="s">
        <v>265</v>
      </c>
      <c r="AC19" s="16" t="s">
        <v>265</v>
      </c>
      <c r="AD19" s="16" t="s">
        <v>265</v>
      </c>
      <c r="AE19" s="16" t="s">
        <v>265</v>
      </c>
      <c r="AF19" s="16" t="s">
        <v>265</v>
      </c>
      <c r="AG19" s="16" t="s">
        <v>265</v>
      </c>
      <c r="AH19" s="16" t="s">
        <v>265</v>
      </c>
      <c r="AI19" s="16" t="s">
        <v>265</v>
      </c>
      <c r="AJ19" s="16" t="s">
        <v>265</v>
      </c>
      <c r="AK19" s="16" t="s">
        <v>265</v>
      </c>
      <c r="AL19" s="16" t="s">
        <v>265</v>
      </c>
      <c r="AM19" s="16" t="s">
        <v>265</v>
      </c>
      <c r="AN19" s="16" t="s">
        <v>265</v>
      </c>
      <c r="AO19" s="16" t="s">
        <v>265</v>
      </c>
      <c r="AP19" s="16" t="s">
        <v>265</v>
      </c>
      <c r="AQ19" s="16" t="s">
        <v>265</v>
      </c>
      <c r="AR19" s="16" t="s">
        <v>265</v>
      </c>
      <c r="AS19" s="16" t="s">
        <v>265</v>
      </c>
      <c r="AT19" s="16" t="s">
        <v>265</v>
      </c>
      <c r="AU19" s="16" t="s">
        <v>265</v>
      </c>
      <c r="AV19" s="16" t="s">
        <v>265</v>
      </c>
      <c r="AW19" s="16" t="s">
        <v>265</v>
      </c>
      <c r="AX19" s="16" t="s">
        <v>265</v>
      </c>
      <c r="AY19" s="16" t="s">
        <v>265</v>
      </c>
      <c r="AZ19" s="16" t="s">
        <v>265</v>
      </c>
      <c r="BA19" s="16" t="s">
        <v>265</v>
      </c>
      <c r="BB19" s="16" t="s">
        <v>265</v>
      </c>
      <c r="BC19" s="16" t="s">
        <v>265</v>
      </c>
      <c r="BD19" s="16" t="s">
        <v>265</v>
      </c>
      <c r="BE19" s="16" t="s">
        <v>265</v>
      </c>
      <c r="BH19" s="17"/>
    </row>
    <row r="20" customFormat="false" ht="12.8" hidden="false" customHeight="false" outlineLevel="0" collapsed="false">
      <c r="A20" s="1" t="s">
        <v>33</v>
      </c>
      <c r="B20" s="16" t="s">
        <v>265</v>
      </c>
      <c r="C20" s="16" t="s">
        <v>265</v>
      </c>
      <c r="D20" s="16" t="s">
        <v>265</v>
      </c>
      <c r="E20" s="16" t="s">
        <v>265</v>
      </c>
      <c r="F20" s="16" t="s">
        <v>265</v>
      </c>
      <c r="G20" s="16" t="s">
        <v>265</v>
      </c>
      <c r="H20" s="16" t="s">
        <v>265</v>
      </c>
      <c r="I20" s="16" t="s">
        <v>265</v>
      </c>
      <c r="J20" s="16" t="s">
        <v>265</v>
      </c>
      <c r="K20" s="16" t="s">
        <v>265</v>
      </c>
      <c r="L20" s="16" t="s">
        <v>265</v>
      </c>
      <c r="M20" s="16" t="s">
        <v>265</v>
      </c>
      <c r="N20" s="16" t="s">
        <v>265</v>
      </c>
      <c r="O20" s="16" t="s">
        <v>265</v>
      </c>
      <c r="P20" s="16" t="s">
        <v>265</v>
      </c>
      <c r="Q20" s="16" t="s">
        <v>265</v>
      </c>
      <c r="R20" s="16" t="s">
        <v>265</v>
      </c>
      <c r="S20" s="16" t="s">
        <v>265</v>
      </c>
      <c r="T20" s="16" t="s">
        <v>265</v>
      </c>
      <c r="U20" s="16" t="s">
        <v>265</v>
      </c>
      <c r="V20" s="16" t="s">
        <v>265</v>
      </c>
      <c r="W20" s="16" t="s">
        <v>265</v>
      </c>
      <c r="X20" s="16" t="s">
        <v>265</v>
      </c>
      <c r="Y20" s="16" t="s">
        <v>265</v>
      </c>
      <c r="Z20" s="16" t="s">
        <v>265</v>
      </c>
      <c r="AA20" s="16" t="s">
        <v>265</v>
      </c>
      <c r="AB20" s="16" t="s">
        <v>265</v>
      </c>
      <c r="AC20" s="16" t="s">
        <v>265</v>
      </c>
      <c r="AD20" s="16" t="s">
        <v>265</v>
      </c>
      <c r="AE20" s="16" t="s">
        <v>265</v>
      </c>
      <c r="AF20" s="16" t="s">
        <v>265</v>
      </c>
      <c r="AG20" s="16" t="s">
        <v>265</v>
      </c>
      <c r="AH20" s="16" t="s">
        <v>265</v>
      </c>
      <c r="AI20" s="16" t="s">
        <v>265</v>
      </c>
      <c r="AJ20" s="16" t="s">
        <v>265</v>
      </c>
      <c r="AK20" s="16" t="s">
        <v>265</v>
      </c>
      <c r="AL20" s="16" t="s">
        <v>265</v>
      </c>
      <c r="AM20" s="16" t="s">
        <v>265</v>
      </c>
      <c r="AN20" s="16" t="s">
        <v>265</v>
      </c>
      <c r="AO20" s="16" t="s">
        <v>265</v>
      </c>
      <c r="AP20" s="16" t="s">
        <v>265</v>
      </c>
      <c r="AQ20" s="16" t="s">
        <v>265</v>
      </c>
      <c r="AR20" s="16" t="s">
        <v>265</v>
      </c>
      <c r="AS20" s="16" t="s">
        <v>265</v>
      </c>
      <c r="AT20" s="16" t="s">
        <v>265</v>
      </c>
      <c r="AU20" s="16" t="s">
        <v>265</v>
      </c>
      <c r="AV20" s="16" t="s">
        <v>265</v>
      </c>
      <c r="AW20" s="16" t="s">
        <v>265</v>
      </c>
      <c r="AX20" s="16" t="s">
        <v>265</v>
      </c>
      <c r="AY20" s="16" t="s">
        <v>265</v>
      </c>
      <c r="AZ20" s="16" t="s">
        <v>265</v>
      </c>
      <c r="BA20" s="16" t="s">
        <v>265</v>
      </c>
      <c r="BB20" s="16" t="s">
        <v>265</v>
      </c>
      <c r="BC20" s="16" t="s">
        <v>265</v>
      </c>
      <c r="BD20" s="16" t="s">
        <v>265</v>
      </c>
      <c r="BE20" s="16" t="s">
        <v>265</v>
      </c>
      <c r="BH20" s="12"/>
    </row>
    <row r="21" customFormat="false" ht="12.8" hidden="false" customHeight="false" outlineLevel="0" collapsed="false">
      <c r="A21" s="1" t="s">
        <v>35</v>
      </c>
      <c r="B21" s="1" t="n">
        <v>3</v>
      </c>
      <c r="C21" s="1" t="n">
        <v>0</v>
      </c>
      <c r="D21" s="1" t="n">
        <v>27</v>
      </c>
      <c r="E21" s="1" t="n">
        <v>0</v>
      </c>
      <c r="F21" s="1" t="n">
        <v>13</v>
      </c>
      <c r="G21" s="1" t="n">
        <v>0</v>
      </c>
      <c r="H21" s="1" t="n">
        <v>0</v>
      </c>
      <c r="I21" s="1" t="n">
        <v>38</v>
      </c>
      <c r="J21" s="1" t="n">
        <v>0</v>
      </c>
      <c r="K21" s="1" t="n">
        <v>0</v>
      </c>
      <c r="L21" s="1" t="n">
        <v>0</v>
      </c>
      <c r="M21" s="1" t="n">
        <v>18</v>
      </c>
      <c r="N21" s="1" t="n">
        <v>3</v>
      </c>
      <c r="O21" s="1" t="n">
        <v>15</v>
      </c>
      <c r="P21" s="1" t="n">
        <v>0</v>
      </c>
      <c r="Q21" s="1" t="n">
        <v>4</v>
      </c>
      <c r="R21" s="1" t="n">
        <v>0</v>
      </c>
      <c r="S21" s="1" t="n">
        <v>1</v>
      </c>
      <c r="T21" s="1" t="n">
        <v>11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7</v>
      </c>
      <c r="AB21" s="1" t="n">
        <v>0</v>
      </c>
      <c r="AC21" s="1" t="n">
        <v>0</v>
      </c>
      <c r="AD21" s="1" t="n">
        <v>20</v>
      </c>
      <c r="AE21" s="1" t="n">
        <v>1</v>
      </c>
      <c r="AF21" s="1" t="n">
        <v>58</v>
      </c>
      <c r="AG21" s="1" t="n">
        <v>0</v>
      </c>
      <c r="AH21" s="1" t="n">
        <v>0</v>
      </c>
      <c r="AI21" s="1" t="n">
        <v>1</v>
      </c>
      <c r="AJ21" s="1" t="n">
        <v>1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24</v>
      </c>
      <c r="AT21" s="1" t="n">
        <v>2171</v>
      </c>
      <c r="AU21" s="1" t="n">
        <v>7</v>
      </c>
      <c r="AV21" s="1" t="n">
        <v>0</v>
      </c>
      <c r="AW21" s="1" t="n">
        <v>0</v>
      </c>
      <c r="AX21" s="1" t="n">
        <v>5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2</v>
      </c>
      <c r="BD21" s="1" t="n">
        <v>0</v>
      </c>
      <c r="BE21" s="1" t="n">
        <v>0</v>
      </c>
      <c r="BH21" s="12"/>
    </row>
    <row r="22" customFormat="false" ht="12.8" hidden="false" customHeight="false" outlineLevel="0" collapsed="false">
      <c r="A22" s="1" t="s">
        <v>36</v>
      </c>
      <c r="B22" s="16" t="s">
        <v>265</v>
      </c>
      <c r="C22" s="16" t="s">
        <v>265</v>
      </c>
      <c r="D22" s="16" t="s">
        <v>265</v>
      </c>
      <c r="E22" s="16" t="s">
        <v>265</v>
      </c>
      <c r="F22" s="16" t="s">
        <v>265</v>
      </c>
      <c r="G22" s="16" t="s">
        <v>265</v>
      </c>
      <c r="H22" s="16" t="s">
        <v>265</v>
      </c>
      <c r="I22" s="16" t="s">
        <v>265</v>
      </c>
      <c r="J22" s="16" t="s">
        <v>265</v>
      </c>
      <c r="K22" s="16" t="s">
        <v>265</v>
      </c>
      <c r="L22" s="16" t="s">
        <v>265</v>
      </c>
      <c r="M22" s="16" t="s">
        <v>265</v>
      </c>
      <c r="N22" s="16" t="s">
        <v>265</v>
      </c>
      <c r="O22" s="16" t="s">
        <v>265</v>
      </c>
      <c r="P22" s="16" t="s">
        <v>265</v>
      </c>
      <c r="Q22" s="16" t="s">
        <v>265</v>
      </c>
      <c r="R22" s="16" t="s">
        <v>265</v>
      </c>
      <c r="S22" s="16" t="s">
        <v>265</v>
      </c>
      <c r="T22" s="16" t="s">
        <v>265</v>
      </c>
      <c r="U22" s="16" t="s">
        <v>265</v>
      </c>
      <c r="V22" s="16" t="s">
        <v>265</v>
      </c>
      <c r="W22" s="16" t="s">
        <v>265</v>
      </c>
      <c r="X22" s="16" t="s">
        <v>265</v>
      </c>
      <c r="Y22" s="16" t="s">
        <v>265</v>
      </c>
      <c r="Z22" s="16" t="s">
        <v>265</v>
      </c>
      <c r="AA22" s="16" t="s">
        <v>265</v>
      </c>
      <c r="AB22" s="16" t="s">
        <v>265</v>
      </c>
      <c r="AC22" s="16" t="s">
        <v>265</v>
      </c>
      <c r="AD22" s="16" t="s">
        <v>265</v>
      </c>
      <c r="AE22" s="16" t="s">
        <v>265</v>
      </c>
      <c r="AF22" s="16" t="s">
        <v>265</v>
      </c>
      <c r="AG22" s="16" t="s">
        <v>265</v>
      </c>
      <c r="AH22" s="16" t="s">
        <v>265</v>
      </c>
      <c r="AI22" s="16" t="s">
        <v>265</v>
      </c>
      <c r="AJ22" s="16" t="s">
        <v>265</v>
      </c>
      <c r="AK22" s="16" t="s">
        <v>265</v>
      </c>
      <c r="AL22" s="16" t="s">
        <v>265</v>
      </c>
      <c r="AM22" s="16" t="s">
        <v>265</v>
      </c>
      <c r="AN22" s="16" t="s">
        <v>265</v>
      </c>
      <c r="AO22" s="16" t="s">
        <v>265</v>
      </c>
      <c r="AP22" s="16" t="s">
        <v>265</v>
      </c>
      <c r="AQ22" s="16" t="s">
        <v>265</v>
      </c>
      <c r="AR22" s="16" t="s">
        <v>265</v>
      </c>
      <c r="AS22" s="16" t="s">
        <v>265</v>
      </c>
      <c r="AT22" s="16" t="s">
        <v>265</v>
      </c>
      <c r="AU22" s="16" t="s">
        <v>265</v>
      </c>
      <c r="AV22" s="16" t="s">
        <v>265</v>
      </c>
      <c r="AW22" s="16" t="s">
        <v>265</v>
      </c>
      <c r="AX22" s="16" t="s">
        <v>265</v>
      </c>
      <c r="AY22" s="16" t="s">
        <v>265</v>
      </c>
      <c r="AZ22" s="16" t="s">
        <v>265</v>
      </c>
      <c r="BA22" s="16" t="s">
        <v>265</v>
      </c>
      <c r="BB22" s="16" t="s">
        <v>265</v>
      </c>
      <c r="BC22" s="16" t="s">
        <v>265</v>
      </c>
      <c r="BD22" s="16" t="s">
        <v>265</v>
      </c>
      <c r="BE22" s="16" t="s">
        <v>265</v>
      </c>
      <c r="BH22" s="17"/>
    </row>
    <row r="23" customFormat="false" ht="12.8" hidden="false" customHeight="false" outlineLevel="0" collapsed="false">
      <c r="A23" s="1" t="s">
        <v>37</v>
      </c>
      <c r="B23" s="16" t="s">
        <v>265</v>
      </c>
      <c r="C23" s="16" t="s">
        <v>265</v>
      </c>
      <c r="D23" s="16" t="s">
        <v>265</v>
      </c>
      <c r="E23" s="16" t="s">
        <v>265</v>
      </c>
      <c r="F23" s="16" t="s">
        <v>265</v>
      </c>
      <c r="G23" s="16" t="s">
        <v>265</v>
      </c>
      <c r="H23" s="16" t="s">
        <v>265</v>
      </c>
      <c r="I23" s="16" t="s">
        <v>265</v>
      </c>
      <c r="J23" s="16" t="s">
        <v>265</v>
      </c>
      <c r="K23" s="16" t="s">
        <v>265</v>
      </c>
      <c r="L23" s="16" t="s">
        <v>265</v>
      </c>
      <c r="M23" s="16" t="s">
        <v>265</v>
      </c>
      <c r="N23" s="16" t="s">
        <v>265</v>
      </c>
      <c r="O23" s="16" t="s">
        <v>265</v>
      </c>
      <c r="P23" s="16" t="s">
        <v>265</v>
      </c>
      <c r="Q23" s="16" t="s">
        <v>265</v>
      </c>
      <c r="R23" s="16" t="s">
        <v>265</v>
      </c>
      <c r="S23" s="16" t="s">
        <v>265</v>
      </c>
      <c r="T23" s="16" t="s">
        <v>265</v>
      </c>
      <c r="U23" s="16" t="s">
        <v>265</v>
      </c>
      <c r="V23" s="16" t="s">
        <v>265</v>
      </c>
      <c r="W23" s="16" t="s">
        <v>265</v>
      </c>
      <c r="X23" s="16" t="s">
        <v>265</v>
      </c>
      <c r="Y23" s="16" t="s">
        <v>265</v>
      </c>
      <c r="Z23" s="16" t="s">
        <v>265</v>
      </c>
      <c r="AA23" s="16" t="s">
        <v>265</v>
      </c>
      <c r="AB23" s="16" t="s">
        <v>265</v>
      </c>
      <c r="AC23" s="16" t="s">
        <v>265</v>
      </c>
      <c r="AD23" s="16" t="s">
        <v>265</v>
      </c>
      <c r="AE23" s="16" t="s">
        <v>265</v>
      </c>
      <c r="AF23" s="16" t="s">
        <v>265</v>
      </c>
      <c r="AG23" s="16" t="s">
        <v>265</v>
      </c>
      <c r="AH23" s="16" t="s">
        <v>265</v>
      </c>
      <c r="AI23" s="16" t="s">
        <v>265</v>
      </c>
      <c r="AJ23" s="16" t="s">
        <v>265</v>
      </c>
      <c r="AK23" s="16" t="s">
        <v>265</v>
      </c>
      <c r="AL23" s="16" t="s">
        <v>265</v>
      </c>
      <c r="AM23" s="16" t="s">
        <v>265</v>
      </c>
      <c r="AN23" s="16" t="s">
        <v>265</v>
      </c>
      <c r="AO23" s="16" t="s">
        <v>265</v>
      </c>
      <c r="AP23" s="16" t="s">
        <v>265</v>
      </c>
      <c r="AQ23" s="16" t="s">
        <v>265</v>
      </c>
      <c r="AR23" s="16" t="s">
        <v>265</v>
      </c>
      <c r="AS23" s="16" t="s">
        <v>265</v>
      </c>
      <c r="AT23" s="16" t="s">
        <v>265</v>
      </c>
      <c r="AU23" s="16" t="s">
        <v>265</v>
      </c>
      <c r="AV23" s="16" t="s">
        <v>265</v>
      </c>
      <c r="AW23" s="16" t="s">
        <v>265</v>
      </c>
      <c r="AX23" s="16" t="s">
        <v>265</v>
      </c>
      <c r="AY23" s="16" t="s">
        <v>265</v>
      </c>
      <c r="AZ23" s="16" t="s">
        <v>265</v>
      </c>
      <c r="BA23" s="16" t="s">
        <v>265</v>
      </c>
      <c r="BB23" s="16" t="s">
        <v>265</v>
      </c>
      <c r="BC23" s="16" t="s">
        <v>265</v>
      </c>
      <c r="BD23" s="16" t="s">
        <v>265</v>
      </c>
      <c r="BE23" s="16" t="s">
        <v>265</v>
      </c>
      <c r="BH23" s="17"/>
    </row>
    <row r="24" customFormat="false" ht="12.8" hidden="false" customHeight="false" outlineLevel="0" collapsed="false">
      <c r="A24" s="1" t="s">
        <v>39</v>
      </c>
      <c r="B24" s="1" t="n">
        <v>0</v>
      </c>
      <c r="C24" s="1" t="n">
        <v>0</v>
      </c>
      <c r="D24" s="1" t="n">
        <v>12</v>
      </c>
      <c r="E24" s="1" t="n">
        <v>0</v>
      </c>
      <c r="F24" s="1" t="n">
        <v>591</v>
      </c>
      <c r="G24" s="1" t="n">
        <v>105</v>
      </c>
      <c r="H24" s="1" t="n">
        <v>0</v>
      </c>
      <c r="I24" s="1" t="n">
        <v>39</v>
      </c>
      <c r="J24" s="1" t="n">
        <v>0</v>
      </c>
      <c r="K24" s="1" t="n">
        <v>12</v>
      </c>
      <c r="L24" s="1" t="n">
        <v>0</v>
      </c>
      <c r="M24" s="1" t="n">
        <v>537</v>
      </c>
      <c r="N24" s="1" t="n">
        <v>3</v>
      </c>
      <c r="O24" s="1" t="n">
        <v>27</v>
      </c>
      <c r="P24" s="1" t="n">
        <v>0</v>
      </c>
      <c r="Q24" s="1" t="n">
        <v>3</v>
      </c>
      <c r="R24" s="1" t="n">
        <v>0</v>
      </c>
      <c r="S24" s="1" t="n">
        <v>4</v>
      </c>
      <c r="T24" s="1" t="n">
        <v>6</v>
      </c>
      <c r="U24" s="1" t="n">
        <v>78</v>
      </c>
      <c r="V24" s="1" t="n">
        <v>9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9</v>
      </c>
      <c r="AB24" s="1" t="n">
        <v>0</v>
      </c>
      <c r="AC24" s="1" t="n">
        <v>0</v>
      </c>
      <c r="AD24" s="1" t="n">
        <v>0</v>
      </c>
      <c r="AE24" s="1" t="n">
        <v>8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6</v>
      </c>
      <c r="AK24" s="1" t="n">
        <v>0</v>
      </c>
      <c r="AL24" s="1" t="n">
        <v>0</v>
      </c>
      <c r="AM24" s="1" t="n">
        <v>0</v>
      </c>
      <c r="AN24" s="1" t="n">
        <v>5</v>
      </c>
      <c r="AO24" s="1" t="n">
        <v>0</v>
      </c>
      <c r="AP24" s="1" t="n">
        <v>0</v>
      </c>
      <c r="AQ24" s="1" t="n">
        <v>2</v>
      </c>
      <c r="AR24" s="1" t="n">
        <v>0</v>
      </c>
      <c r="AS24" s="1" t="n">
        <v>7</v>
      </c>
      <c r="AT24" s="1" t="n">
        <v>2814</v>
      </c>
      <c r="AU24" s="1" t="n">
        <v>84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81</v>
      </c>
      <c r="BC24" s="1" t="n">
        <v>0</v>
      </c>
      <c r="BD24" s="1" t="n">
        <v>0</v>
      </c>
      <c r="BE24" s="1" t="n">
        <v>0</v>
      </c>
      <c r="BH24" s="12"/>
    </row>
    <row r="25" customFormat="false" ht="12.8" hidden="false" customHeight="false" outlineLevel="0" collapsed="false">
      <c r="A25" s="1" t="s">
        <v>40</v>
      </c>
      <c r="B25" s="16" t="s">
        <v>265</v>
      </c>
      <c r="C25" s="16" t="s">
        <v>265</v>
      </c>
      <c r="D25" s="16" t="s">
        <v>265</v>
      </c>
      <c r="E25" s="16" t="s">
        <v>265</v>
      </c>
      <c r="F25" s="16" t="s">
        <v>265</v>
      </c>
      <c r="G25" s="16" t="s">
        <v>265</v>
      </c>
      <c r="H25" s="16" t="s">
        <v>265</v>
      </c>
      <c r="I25" s="16" t="s">
        <v>265</v>
      </c>
      <c r="J25" s="16" t="s">
        <v>265</v>
      </c>
      <c r="K25" s="16" t="s">
        <v>265</v>
      </c>
      <c r="L25" s="16" t="s">
        <v>265</v>
      </c>
      <c r="M25" s="16" t="s">
        <v>265</v>
      </c>
      <c r="N25" s="16" t="s">
        <v>265</v>
      </c>
      <c r="O25" s="16" t="s">
        <v>265</v>
      </c>
      <c r="P25" s="16" t="s">
        <v>265</v>
      </c>
      <c r="Q25" s="16" t="s">
        <v>265</v>
      </c>
      <c r="R25" s="16" t="s">
        <v>265</v>
      </c>
      <c r="S25" s="16" t="s">
        <v>265</v>
      </c>
      <c r="T25" s="16" t="s">
        <v>265</v>
      </c>
      <c r="U25" s="16" t="s">
        <v>265</v>
      </c>
      <c r="V25" s="16" t="s">
        <v>265</v>
      </c>
      <c r="W25" s="16" t="s">
        <v>265</v>
      </c>
      <c r="X25" s="16" t="s">
        <v>265</v>
      </c>
      <c r="Y25" s="16" t="s">
        <v>265</v>
      </c>
      <c r="Z25" s="16" t="s">
        <v>265</v>
      </c>
      <c r="AA25" s="16" t="s">
        <v>265</v>
      </c>
      <c r="AB25" s="16" t="s">
        <v>265</v>
      </c>
      <c r="AC25" s="16" t="s">
        <v>265</v>
      </c>
      <c r="AD25" s="16" t="s">
        <v>265</v>
      </c>
      <c r="AE25" s="16" t="s">
        <v>265</v>
      </c>
      <c r="AF25" s="16" t="s">
        <v>265</v>
      </c>
      <c r="AG25" s="16" t="s">
        <v>265</v>
      </c>
      <c r="AH25" s="16" t="s">
        <v>265</v>
      </c>
      <c r="AI25" s="16" t="s">
        <v>265</v>
      </c>
      <c r="AJ25" s="16" t="s">
        <v>265</v>
      </c>
      <c r="AK25" s="16" t="s">
        <v>265</v>
      </c>
      <c r="AL25" s="16" t="s">
        <v>265</v>
      </c>
      <c r="AM25" s="16" t="s">
        <v>265</v>
      </c>
      <c r="AN25" s="16" t="s">
        <v>265</v>
      </c>
      <c r="AO25" s="16" t="s">
        <v>265</v>
      </c>
      <c r="AP25" s="16" t="s">
        <v>265</v>
      </c>
      <c r="AQ25" s="16" t="s">
        <v>265</v>
      </c>
      <c r="AR25" s="16" t="s">
        <v>265</v>
      </c>
      <c r="AS25" s="16" t="s">
        <v>265</v>
      </c>
      <c r="AT25" s="16" t="s">
        <v>265</v>
      </c>
      <c r="AU25" s="16" t="s">
        <v>265</v>
      </c>
      <c r="AV25" s="16" t="s">
        <v>265</v>
      </c>
      <c r="AW25" s="16" t="s">
        <v>265</v>
      </c>
      <c r="AX25" s="16" t="s">
        <v>265</v>
      </c>
      <c r="AY25" s="16" t="s">
        <v>265</v>
      </c>
      <c r="AZ25" s="16" t="s">
        <v>265</v>
      </c>
      <c r="BA25" s="16" t="s">
        <v>265</v>
      </c>
      <c r="BB25" s="16" t="s">
        <v>265</v>
      </c>
      <c r="BC25" s="16" t="s">
        <v>265</v>
      </c>
      <c r="BD25" s="16" t="s">
        <v>265</v>
      </c>
      <c r="BE25" s="16" t="s">
        <v>265</v>
      </c>
      <c r="BH25" s="17"/>
    </row>
    <row r="26" customFormat="false" ht="12.8" hidden="false" customHeight="false" outlineLevel="0" collapsed="false">
      <c r="A26" s="1" t="s">
        <v>41</v>
      </c>
      <c r="B26" s="16" t="s">
        <v>265</v>
      </c>
      <c r="C26" s="16" t="s">
        <v>265</v>
      </c>
      <c r="D26" s="16" t="s">
        <v>265</v>
      </c>
      <c r="E26" s="16" t="s">
        <v>265</v>
      </c>
      <c r="F26" s="16" t="s">
        <v>265</v>
      </c>
      <c r="G26" s="16" t="s">
        <v>265</v>
      </c>
      <c r="H26" s="16" t="s">
        <v>265</v>
      </c>
      <c r="I26" s="16" t="s">
        <v>265</v>
      </c>
      <c r="J26" s="16" t="s">
        <v>265</v>
      </c>
      <c r="K26" s="16" t="s">
        <v>265</v>
      </c>
      <c r="L26" s="16" t="s">
        <v>265</v>
      </c>
      <c r="M26" s="16" t="s">
        <v>265</v>
      </c>
      <c r="N26" s="16" t="s">
        <v>265</v>
      </c>
      <c r="O26" s="16" t="s">
        <v>265</v>
      </c>
      <c r="P26" s="16" t="s">
        <v>265</v>
      </c>
      <c r="Q26" s="16" t="s">
        <v>265</v>
      </c>
      <c r="R26" s="16" t="s">
        <v>265</v>
      </c>
      <c r="S26" s="16" t="s">
        <v>265</v>
      </c>
      <c r="T26" s="16" t="s">
        <v>265</v>
      </c>
      <c r="U26" s="16" t="s">
        <v>265</v>
      </c>
      <c r="V26" s="16" t="s">
        <v>265</v>
      </c>
      <c r="W26" s="16" t="s">
        <v>265</v>
      </c>
      <c r="X26" s="16" t="s">
        <v>265</v>
      </c>
      <c r="Y26" s="16" t="s">
        <v>265</v>
      </c>
      <c r="Z26" s="16" t="s">
        <v>265</v>
      </c>
      <c r="AA26" s="16" t="s">
        <v>265</v>
      </c>
      <c r="AB26" s="16" t="s">
        <v>265</v>
      </c>
      <c r="AC26" s="16" t="s">
        <v>265</v>
      </c>
      <c r="AD26" s="16" t="s">
        <v>265</v>
      </c>
      <c r="AE26" s="16" t="s">
        <v>265</v>
      </c>
      <c r="AF26" s="16" t="s">
        <v>265</v>
      </c>
      <c r="AG26" s="16" t="s">
        <v>265</v>
      </c>
      <c r="AH26" s="16" t="s">
        <v>265</v>
      </c>
      <c r="AI26" s="16" t="s">
        <v>265</v>
      </c>
      <c r="AJ26" s="16" t="s">
        <v>265</v>
      </c>
      <c r="AK26" s="16" t="s">
        <v>265</v>
      </c>
      <c r="AL26" s="16" t="s">
        <v>265</v>
      </c>
      <c r="AM26" s="16" t="s">
        <v>265</v>
      </c>
      <c r="AN26" s="16" t="s">
        <v>265</v>
      </c>
      <c r="AO26" s="16" t="s">
        <v>265</v>
      </c>
      <c r="AP26" s="16" t="s">
        <v>265</v>
      </c>
      <c r="AQ26" s="16" t="s">
        <v>265</v>
      </c>
      <c r="AR26" s="16" t="s">
        <v>265</v>
      </c>
      <c r="AS26" s="16" t="s">
        <v>265</v>
      </c>
      <c r="AT26" s="16" t="s">
        <v>265</v>
      </c>
      <c r="AU26" s="16" t="s">
        <v>265</v>
      </c>
      <c r="AV26" s="16" t="s">
        <v>265</v>
      </c>
      <c r="AW26" s="16" t="s">
        <v>265</v>
      </c>
      <c r="AX26" s="16" t="s">
        <v>265</v>
      </c>
      <c r="AY26" s="16" t="s">
        <v>265</v>
      </c>
      <c r="AZ26" s="16" t="s">
        <v>265</v>
      </c>
      <c r="BA26" s="16" t="s">
        <v>265</v>
      </c>
      <c r="BB26" s="16" t="s">
        <v>265</v>
      </c>
      <c r="BC26" s="16" t="s">
        <v>265</v>
      </c>
      <c r="BD26" s="16" t="s">
        <v>265</v>
      </c>
      <c r="BE26" s="16" t="s">
        <v>265</v>
      </c>
      <c r="BH26" s="17"/>
    </row>
    <row r="27" customFormat="false" ht="12.8" hidden="false" customHeight="false" outlineLevel="0" collapsed="false">
      <c r="A27" s="1" t="s">
        <v>43</v>
      </c>
      <c r="B27" s="1" t="n">
        <v>0</v>
      </c>
      <c r="C27" s="1" t="n">
        <v>0</v>
      </c>
      <c r="D27" s="1" t="n">
        <v>2115</v>
      </c>
      <c r="E27" s="1" t="n">
        <v>0</v>
      </c>
      <c r="F27" s="1" t="n">
        <v>2736</v>
      </c>
      <c r="G27" s="1" t="n">
        <v>12</v>
      </c>
      <c r="H27" s="1" t="n">
        <v>0</v>
      </c>
      <c r="I27" s="1" t="n">
        <v>84</v>
      </c>
      <c r="J27" s="1" t="n">
        <v>0</v>
      </c>
      <c r="K27" s="1" t="n">
        <v>21</v>
      </c>
      <c r="L27" s="1" t="n">
        <v>0</v>
      </c>
      <c r="M27" s="1" t="n">
        <v>162</v>
      </c>
      <c r="N27" s="1" t="n">
        <v>0</v>
      </c>
      <c r="O27" s="1" t="n">
        <v>6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2961</v>
      </c>
      <c r="U27" s="1" t="n">
        <v>9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15</v>
      </c>
      <c r="AA27" s="1" t="n">
        <v>228</v>
      </c>
      <c r="AB27" s="1" t="n">
        <v>0</v>
      </c>
      <c r="AC27" s="12" t="n">
        <v>0</v>
      </c>
      <c r="AD27" s="12" t="n">
        <v>8</v>
      </c>
      <c r="AE27" s="12" t="n">
        <v>0</v>
      </c>
      <c r="AF27" s="1" t="n">
        <v>23</v>
      </c>
      <c r="AG27" s="1" t="n">
        <v>0</v>
      </c>
      <c r="AH27" s="1" t="n">
        <v>0</v>
      </c>
      <c r="AI27" s="1" t="n">
        <v>0</v>
      </c>
      <c r="AJ27" s="1" t="n">
        <v>6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270</v>
      </c>
      <c r="AU27" s="1" t="n">
        <v>4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11</v>
      </c>
      <c r="BC27" s="1" t="n">
        <v>0</v>
      </c>
      <c r="BD27" s="1" t="n">
        <v>0</v>
      </c>
      <c r="BE27" s="1" t="n">
        <v>0</v>
      </c>
      <c r="BH27" s="12"/>
    </row>
    <row r="28" customFormat="false" ht="12.8" hidden="false" customHeight="false" outlineLevel="0" collapsed="false">
      <c r="A28" s="1" t="s">
        <v>44</v>
      </c>
      <c r="B28" s="16" t="s">
        <v>265</v>
      </c>
      <c r="C28" s="16" t="s">
        <v>265</v>
      </c>
      <c r="D28" s="16" t="s">
        <v>265</v>
      </c>
      <c r="E28" s="16" t="s">
        <v>265</v>
      </c>
      <c r="F28" s="16" t="s">
        <v>265</v>
      </c>
      <c r="G28" s="16" t="s">
        <v>265</v>
      </c>
      <c r="H28" s="16" t="s">
        <v>265</v>
      </c>
      <c r="I28" s="16" t="s">
        <v>265</v>
      </c>
      <c r="J28" s="16" t="s">
        <v>265</v>
      </c>
      <c r="K28" s="16" t="s">
        <v>265</v>
      </c>
      <c r="L28" s="16" t="s">
        <v>265</v>
      </c>
      <c r="M28" s="16" t="s">
        <v>265</v>
      </c>
      <c r="N28" s="16" t="s">
        <v>265</v>
      </c>
      <c r="O28" s="16" t="s">
        <v>265</v>
      </c>
      <c r="P28" s="16" t="s">
        <v>265</v>
      </c>
      <c r="Q28" s="16" t="s">
        <v>265</v>
      </c>
      <c r="R28" s="16" t="s">
        <v>265</v>
      </c>
      <c r="S28" s="16" t="s">
        <v>265</v>
      </c>
      <c r="T28" s="16" t="s">
        <v>265</v>
      </c>
      <c r="U28" s="16" t="s">
        <v>265</v>
      </c>
      <c r="V28" s="16" t="s">
        <v>265</v>
      </c>
      <c r="W28" s="16" t="s">
        <v>265</v>
      </c>
      <c r="X28" s="16" t="s">
        <v>265</v>
      </c>
      <c r="Y28" s="16" t="s">
        <v>265</v>
      </c>
      <c r="Z28" s="16" t="s">
        <v>265</v>
      </c>
      <c r="AA28" s="16" t="s">
        <v>265</v>
      </c>
      <c r="AB28" s="16" t="s">
        <v>265</v>
      </c>
      <c r="AC28" s="16" t="s">
        <v>265</v>
      </c>
      <c r="AD28" s="16" t="s">
        <v>265</v>
      </c>
      <c r="AE28" s="16" t="s">
        <v>265</v>
      </c>
      <c r="AF28" s="16" t="s">
        <v>265</v>
      </c>
      <c r="AG28" s="16" t="s">
        <v>265</v>
      </c>
      <c r="AH28" s="16" t="s">
        <v>265</v>
      </c>
      <c r="AI28" s="16" t="s">
        <v>265</v>
      </c>
      <c r="AJ28" s="16" t="s">
        <v>265</v>
      </c>
      <c r="AK28" s="16" t="s">
        <v>265</v>
      </c>
      <c r="AL28" s="16" t="s">
        <v>265</v>
      </c>
      <c r="AM28" s="16" t="s">
        <v>265</v>
      </c>
      <c r="AN28" s="16" t="s">
        <v>265</v>
      </c>
      <c r="AO28" s="16" t="s">
        <v>265</v>
      </c>
      <c r="AP28" s="16" t="s">
        <v>265</v>
      </c>
      <c r="AQ28" s="16" t="s">
        <v>265</v>
      </c>
      <c r="AR28" s="16" t="s">
        <v>265</v>
      </c>
      <c r="AS28" s="16" t="s">
        <v>265</v>
      </c>
      <c r="AT28" s="16" t="s">
        <v>265</v>
      </c>
      <c r="AU28" s="16" t="s">
        <v>265</v>
      </c>
      <c r="AV28" s="16" t="s">
        <v>265</v>
      </c>
      <c r="AW28" s="16" t="s">
        <v>265</v>
      </c>
      <c r="AX28" s="16" t="s">
        <v>265</v>
      </c>
      <c r="AY28" s="16" t="s">
        <v>265</v>
      </c>
      <c r="AZ28" s="16" t="s">
        <v>265</v>
      </c>
      <c r="BA28" s="16" t="s">
        <v>265</v>
      </c>
      <c r="BB28" s="16" t="s">
        <v>265</v>
      </c>
      <c r="BC28" s="16" t="s">
        <v>265</v>
      </c>
      <c r="BD28" s="16" t="s">
        <v>265</v>
      </c>
      <c r="BE28" s="16" t="s">
        <v>265</v>
      </c>
    </row>
    <row r="29" customFormat="false" ht="12.8" hidden="false" customHeight="false" outlineLevel="0" collapsed="false">
      <c r="A29" s="1" t="s">
        <v>45</v>
      </c>
      <c r="B29" s="16" t="s">
        <v>265</v>
      </c>
      <c r="C29" s="16" t="s">
        <v>265</v>
      </c>
      <c r="D29" s="16" t="s">
        <v>265</v>
      </c>
      <c r="E29" s="16" t="s">
        <v>265</v>
      </c>
      <c r="F29" s="16" t="s">
        <v>265</v>
      </c>
      <c r="G29" s="16" t="s">
        <v>265</v>
      </c>
      <c r="H29" s="16" t="s">
        <v>265</v>
      </c>
      <c r="I29" s="16" t="s">
        <v>265</v>
      </c>
      <c r="J29" s="16" t="s">
        <v>265</v>
      </c>
      <c r="K29" s="16" t="s">
        <v>265</v>
      </c>
      <c r="L29" s="16" t="s">
        <v>265</v>
      </c>
      <c r="M29" s="16" t="s">
        <v>265</v>
      </c>
      <c r="N29" s="16" t="s">
        <v>265</v>
      </c>
      <c r="O29" s="16" t="s">
        <v>265</v>
      </c>
      <c r="P29" s="16" t="s">
        <v>265</v>
      </c>
      <c r="Q29" s="16" t="s">
        <v>265</v>
      </c>
      <c r="R29" s="16" t="s">
        <v>265</v>
      </c>
      <c r="S29" s="16" t="s">
        <v>265</v>
      </c>
      <c r="T29" s="16" t="s">
        <v>265</v>
      </c>
      <c r="U29" s="16" t="s">
        <v>265</v>
      </c>
      <c r="V29" s="16" t="s">
        <v>265</v>
      </c>
      <c r="W29" s="16" t="s">
        <v>265</v>
      </c>
      <c r="X29" s="16" t="s">
        <v>265</v>
      </c>
      <c r="Y29" s="16" t="s">
        <v>265</v>
      </c>
      <c r="Z29" s="16" t="s">
        <v>265</v>
      </c>
      <c r="AA29" s="16" t="s">
        <v>265</v>
      </c>
      <c r="AB29" s="16" t="s">
        <v>265</v>
      </c>
      <c r="AC29" s="16" t="s">
        <v>265</v>
      </c>
      <c r="AD29" s="16" t="s">
        <v>265</v>
      </c>
      <c r="AE29" s="16" t="s">
        <v>265</v>
      </c>
      <c r="AF29" s="16" t="s">
        <v>265</v>
      </c>
      <c r="AG29" s="16" t="s">
        <v>265</v>
      </c>
      <c r="AH29" s="16" t="s">
        <v>265</v>
      </c>
      <c r="AI29" s="16" t="s">
        <v>265</v>
      </c>
      <c r="AJ29" s="16" t="s">
        <v>265</v>
      </c>
      <c r="AK29" s="16" t="s">
        <v>265</v>
      </c>
      <c r="AL29" s="16" t="s">
        <v>265</v>
      </c>
      <c r="AM29" s="16" t="s">
        <v>265</v>
      </c>
      <c r="AN29" s="16" t="s">
        <v>265</v>
      </c>
      <c r="AO29" s="16" t="s">
        <v>265</v>
      </c>
      <c r="AP29" s="16" t="s">
        <v>265</v>
      </c>
      <c r="AQ29" s="16" t="s">
        <v>265</v>
      </c>
      <c r="AR29" s="16" t="s">
        <v>265</v>
      </c>
      <c r="AS29" s="16" t="s">
        <v>265</v>
      </c>
      <c r="AT29" s="16" t="s">
        <v>265</v>
      </c>
      <c r="AU29" s="16" t="s">
        <v>265</v>
      </c>
      <c r="AV29" s="16" t="s">
        <v>265</v>
      </c>
      <c r="AW29" s="16" t="s">
        <v>265</v>
      </c>
      <c r="AX29" s="16" t="s">
        <v>265</v>
      </c>
      <c r="AY29" s="16" t="s">
        <v>265</v>
      </c>
      <c r="AZ29" s="16" t="s">
        <v>265</v>
      </c>
      <c r="BA29" s="16" t="s">
        <v>265</v>
      </c>
      <c r="BB29" s="16" t="s">
        <v>265</v>
      </c>
      <c r="BC29" s="16" t="s">
        <v>265</v>
      </c>
      <c r="BD29" s="16" t="s">
        <v>265</v>
      </c>
      <c r="BE29" s="16" t="s">
        <v>265</v>
      </c>
    </row>
    <row r="30" customFormat="false" ht="12.8" hidden="false" customHeight="false" outlineLevel="0" collapsed="false">
      <c r="A30" s="1" t="s">
        <v>46</v>
      </c>
      <c r="B30" s="1" t="n">
        <v>0</v>
      </c>
      <c r="C30" s="1" t="n">
        <v>0</v>
      </c>
      <c r="D30" s="1" t="n">
        <v>130</v>
      </c>
      <c r="E30" s="1" t="n">
        <v>0</v>
      </c>
      <c r="F30" s="1" t="n">
        <v>3</v>
      </c>
      <c r="G30" s="1" t="n">
        <v>0</v>
      </c>
      <c r="H30" s="1" t="n">
        <v>0</v>
      </c>
      <c r="I30" s="1" t="n">
        <v>6</v>
      </c>
      <c r="J30" s="1" t="n">
        <v>0</v>
      </c>
      <c r="K30" s="1" t="n">
        <v>4</v>
      </c>
      <c r="L30" s="1" t="n">
        <v>0</v>
      </c>
      <c r="M30" s="1" t="n">
        <v>93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11</v>
      </c>
      <c r="U30" s="1" t="n">
        <v>7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70</v>
      </c>
      <c r="AB30" s="1" t="n">
        <v>0</v>
      </c>
      <c r="AC30" s="1" t="n">
        <v>0</v>
      </c>
      <c r="AD30" s="1" t="n">
        <v>2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394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46</v>
      </c>
      <c r="BC30" s="1" t="n">
        <v>0</v>
      </c>
      <c r="BD30" s="1" t="n">
        <v>0</v>
      </c>
      <c r="BE30" s="1" t="n">
        <v>0</v>
      </c>
    </row>
    <row r="31" customFormat="false" ht="12.8" hidden="false" customHeight="false" outlineLevel="0" collapsed="false">
      <c r="A31" s="1" t="s">
        <v>48</v>
      </c>
      <c r="B31" s="1" t="n">
        <v>0</v>
      </c>
      <c r="C31" s="1" t="n">
        <v>0</v>
      </c>
      <c r="D31" s="1" t="n">
        <v>40</v>
      </c>
      <c r="E31" s="1" t="n">
        <v>0</v>
      </c>
      <c r="F31" s="1" t="n">
        <v>4</v>
      </c>
      <c r="G31" s="1" t="n">
        <v>0</v>
      </c>
      <c r="H31" s="1" t="n">
        <v>0</v>
      </c>
      <c r="I31" s="1" t="n">
        <v>2</v>
      </c>
      <c r="J31" s="1" t="n">
        <v>0</v>
      </c>
      <c r="K31" s="1" t="n">
        <v>6</v>
      </c>
      <c r="L31" s="1" t="n">
        <v>0</v>
      </c>
      <c r="M31" s="1" t="n">
        <v>121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21</v>
      </c>
      <c r="U31" s="1" t="n">
        <v>1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52</v>
      </c>
      <c r="AB31" s="1" t="n">
        <v>0</v>
      </c>
      <c r="AC31" s="1" t="n">
        <v>0</v>
      </c>
      <c r="AD31" s="1" t="n">
        <v>1</v>
      </c>
      <c r="AE31" s="1" t="n">
        <v>0</v>
      </c>
      <c r="AF31" s="1" t="n">
        <v>0</v>
      </c>
      <c r="AG31" s="1" t="n">
        <v>0</v>
      </c>
      <c r="AH31" s="1" t="n">
        <v>0</v>
      </c>
      <c r="AI31" s="9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323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49</v>
      </c>
      <c r="BC31" s="1" t="n">
        <v>0</v>
      </c>
      <c r="BD31" s="1" t="n">
        <v>0</v>
      </c>
      <c r="BE31" s="1" t="n">
        <v>0</v>
      </c>
    </row>
    <row r="32" customFormat="false" ht="12.8" hidden="false" customHeight="false" outlineLevel="0" collapsed="false">
      <c r="A32" s="1" t="s">
        <v>49</v>
      </c>
      <c r="B32" s="1" t="n">
        <v>0</v>
      </c>
      <c r="C32" s="1" t="n">
        <v>0</v>
      </c>
      <c r="D32" s="1" t="n">
        <v>11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17</v>
      </c>
      <c r="N32" s="1" t="n">
        <v>0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3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1</v>
      </c>
      <c r="AS32" s="1" t="n">
        <v>0</v>
      </c>
      <c r="AT32" s="1" t="n">
        <v>34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3</v>
      </c>
      <c r="BC32" s="1" t="n">
        <v>1</v>
      </c>
      <c r="BD32" s="1" t="n">
        <v>0</v>
      </c>
      <c r="BE32" s="1" t="n">
        <v>0</v>
      </c>
    </row>
    <row r="33" customFormat="false" ht="12.8" hidden="false" customHeight="false" outlineLevel="0" collapsed="false">
      <c r="A33" s="1" t="s">
        <v>50</v>
      </c>
      <c r="B33" s="1" t="n">
        <v>0</v>
      </c>
      <c r="C33" s="1" t="n">
        <v>0</v>
      </c>
      <c r="D33" s="1" t="n">
        <v>20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2</v>
      </c>
      <c r="J33" s="1" t="n">
        <v>0</v>
      </c>
      <c r="K33" s="1" t="n">
        <v>3</v>
      </c>
      <c r="L33" s="1" t="n">
        <v>0</v>
      </c>
      <c r="M33" s="1" t="n">
        <v>101</v>
      </c>
      <c r="N33" s="1" t="n">
        <v>2</v>
      </c>
      <c r="O33" s="1" t="n">
        <v>4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1</v>
      </c>
      <c r="U33" s="1" t="n">
        <v>21</v>
      </c>
      <c r="V33" s="1" t="n">
        <v>2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15</v>
      </c>
      <c r="AB33" s="1" t="n">
        <v>0</v>
      </c>
      <c r="AC33" s="1" t="n">
        <v>0</v>
      </c>
      <c r="AD33" s="1" t="n">
        <v>6</v>
      </c>
      <c r="AE33" s="1" t="n">
        <v>1</v>
      </c>
      <c r="AF33" s="1" t="n">
        <v>0</v>
      </c>
      <c r="AG33" s="1" t="n">
        <v>0</v>
      </c>
      <c r="AH33" s="1" t="n">
        <v>1</v>
      </c>
      <c r="AI33" s="1" t="n">
        <v>0</v>
      </c>
      <c r="AJ33" s="1" t="n">
        <v>2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6</v>
      </c>
      <c r="AS33" s="1" t="n">
        <v>3</v>
      </c>
      <c r="AT33" s="1" t="n">
        <v>764</v>
      </c>
      <c r="AU33" s="1" t="n">
        <v>0</v>
      </c>
      <c r="AV33" s="1" t="n">
        <v>0</v>
      </c>
      <c r="AW33" s="1" t="n">
        <v>0</v>
      </c>
      <c r="AX33" s="1" t="n">
        <v>7</v>
      </c>
      <c r="AY33" s="1" t="n">
        <v>28</v>
      </c>
      <c r="AZ33" s="1" t="n">
        <v>0</v>
      </c>
      <c r="BA33" s="1" t="n">
        <v>4</v>
      </c>
      <c r="BB33" s="1" t="n">
        <v>8</v>
      </c>
      <c r="BC33" s="1" t="n">
        <v>47</v>
      </c>
      <c r="BD33" s="1" t="n">
        <v>0</v>
      </c>
      <c r="BE33" s="1" t="n">
        <v>0</v>
      </c>
    </row>
    <row r="34" customFormat="false" ht="12.8" hidden="false" customHeight="false" outlineLevel="0" collapsed="false">
      <c r="A34" s="1" t="s">
        <v>51</v>
      </c>
      <c r="B34" s="1" t="n">
        <v>0</v>
      </c>
      <c r="C34" s="1" t="n">
        <v>0</v>
      </c>
      <c r="D34" s="1" t="n">
        <v>7</v>
      </c>
      <c r="E34" s="1" t="n">
        <v>0</v>
      </c>
      <c r="F34" s="1" t="n">
        <v>1</v>
      </c>
      <c r="G34" s="1" t="n">
        <v>1</v>
      </c>
      <c r="H34" s="1" t="n">
        <v>0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79</v>
      </c>
      <c r="N34" s="1" t="n">
        <v>0</v>
      </c>
      <c r="O34" s="1" t="n">
        <v>16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3</v>
      </c>
      <c r="U34" s="1" t="n">
        <v>10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1</v>
      </c>
      <c r="AB34" s="1" t="n">
        <v>0</v>
      </c>
      <c r="AC34" s="1" t="n">
        <v>0</v>
      </c>
      <c r="AD34" s="1" t="n">
        <v>3</v>
      </c>
      <c r="AE34" s="1" t="n">
        <v>1</v>
      </c>
      <c r="AF34" s="1" t="n">
        <v>0</v>
      </c>
      <c r="AG34" s="1" t="n">
        <v>0</v>
      </c>
      <c r="AH34" s="1" t="n">
        <v>10</v>
      </c>
      <c r="AI34" s="9" t="n">
        <v>3</v>
      </c>
      <c r="AJ34" s="1" t="n">
        <v>1</v>
      </c>
      <c r="AK34" s="1" t="n">
        <v>0</v>
      </c>
      <c r="AL34" s="1" t="n">
        <v>0</v>
      </c>
      <c r="AM34" s="1" t="n">
        <v>1</v>
      </c>
      <c r="AN34" s="1" t="n">
        <v>0</v>
      </c>
      <c r="AO34" s="1" t="n">
        <v>1</v>
      </c>
      <c r="AP34" s="1" t="n">
        <v>0</v>
      </c>
      <c r="AQ34" s="1" t="n">
        <v>0</v>
      </c>
      <c r="AR34" s="1" t="n">
        <v>25</v>
      </c>
      <c r="AS34" s="1" t="n">
        <v>71</v>
      </c>
      <c r="AT34" s="1" t="n">
        <v>945</v>
      </c>
      <c r="AU34" s="1" t="n">
        <v>0</v>
      </c>
      <c r="AV34" s="1" t="n">
        <v>2</v>
      </c>
      <c r="AW34" s="1" t="n">
        <v>3</v>
      </c>
      <c r="AX34" s="1" t="n">
        <v>24</v>
      </c>
      <c r="AY34" s="1" t="n">
        <v>0</v>
      </c>
      <c r="AZ34" s="1" t="n">
        <v>0</v>
      </c>
      <c r="BA34" s="1" t="n">
        <v>55</v>
      </c>
      <c r="BB34" s="1" t="n">
        <v>1</v>
      </c>
      <c r="BC34" s="1" t="n">
        <v>26</v>
      </c>
      <c r="BD34" s="1" t="n">
        <v>1</v>
      </c>
      <c r="BE34" s="1" t="n">
        <v>1</v>
      </c>
    </row>
    <row r="35" customFormat="false" ht="12.8" hidden="false" customHeight="false" outlineLevel="0" collapsed="false">
      <c r="A35" s="1" t="s">
        <v>52</v>
      </c>
      <c r="B35" s="1" t="n">
        <v>0</v>
      </c>
      <c r="C35" s="1" t="n">
        <v>0</v>
      </c>
      <c r="D35" s="1" t="n">
        <v>12</v>
      </c>
      <c r="E35" s="1" t="n">
        <v>0</v>
      </c>
      <c r="F35" s="1" t="n">
        <v>0</v>
      </c>
      <c r="G35" s="1" t="n">
        <v>3</v>
      </c>
      <c r="H35" s="1" t="n">
        <v>1</v>
      </c>
      <c r="I35" s="1" t="n">
        <v>3</v>
      </c>
      <c r="J35" s="1" t="n">
        <v>1</v>
      </c>
      <c r="K35" s="1" t="n">
        <v>2</v>
      </c>
      <c r="L35" s="1" t="n">
        <v>0</v>
      </c>
      <c r="M35" s="1" t="n">
        <v>144</v>
      </c>
      <c r="N35" s="1" t="n">
        <v>1</v>
      </c>
      <c r="O35" s="1" t="n">
        <v>3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4</v>
      </c>
      <c r="U35" s="1" t="n">
        <v>11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13</v>
      </c>
      <c r="AB35" s="1" t="n">
        <v>0</v>
      </c>
      <c r="AC35" s="1" t="n">
        <v>0</v>
      </c>
      <c r="AD35" s="1" t="n">
        <v>4</v>
      </c>
      <c r="AE35" s="1" t="n">
        <v>2</v>
      </c>
      <c r="AF35" s="1" t="n">
        <v>3</v>
      </c>
      <c r="AG35" s="1" t="n">
        <v>0</v>
      </c>
      <c r="AH35" s="1" t="n">
        <v>3</v>
      </c>
      <c r="AI35" s="1" t="n">
        <v>2</v>
      </c>
      <c r="AJ35" s="1" t="n">
        <v>4</v>
      </c>
      <c r="AK35" s="1" t="n">
        <v>0</v>
      </c>
      <c r="AL35" s="1" t="n">
        <v>0</v>
      </c>
      <c r="AM35" s="1" t="n">
        <v>1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6</v>
      </c>
      <c r="AS35" s="1" t="n">
        <v>4</v>
      </c>
      <c r="AT35" s="1" t="n">
        <v>1728</v>
      </c>
      <c r="AU35" s="1" t="n">
        <v>0</v>
      </c>
      <c r="AV35" s="1" t="n">
        <v>0</v>
      </c>
      <c r="AW35" s="1" t="n">
        <v>0</v>
      </c>
      <c r="AX35" s="1" t="n">
        <v>12</v>
      </c>
      <c r="AY35" s="1" t="n">
        <v>39</v>
      </c>
      <c r="AZ35" s="1" t="n">
        <v>0</v>
      </c>
      <c r="BA35" s="1" t="n">
        <v>6</v>
      </c>
      <c r="BB35" s="1" t="n">
        <v>3</v>
      </c>
      <c r="BC35" s="1" t="n">
        <v>38</v>
      </c>
      <c r="BD35" s="1" t="n">
        <v>1</v>
      </c>
      <c r="BE35" s="1" t="n">
        <v>0</v>
      </c>
    </row>
    <row r="36" customFormat="false" ht="12.8" hidden="false" customHeight="false" outlineLevel="0" collapsed="false">
      <c r="A36" s="1" t="s">
        <v>53</v>
      </c>
      <c r="B36" s="1" t="n">
        <v>1</v>
      </c>
      <c r="C36" s="1" t="n">
        <v>0</v>
      </c>
      <c r="D36" s="1" t="n">
        <v>10</v>
      </c>
      <c r="E36" s="1" t="n">
        <v>16</v>
      </c>
      <c r="F36" s="1" t="n">
        <v>10</v>
      </c>
      <c r="G36" s="1" t="n">
        <v>0</v>
      </c>
      <c r="H36" s="1" t="n">
        <v>80</v>
      </c>
      <c r="I36" s="1" t="n">
        <v>1</v>
      </c>
      <c r="J36" s="1" t="n">
        <v>23</v>
      </c>
      <c r="K36" s="1" t="n">
        <v>7</v>
      </c>
      <c r="L36" s="1" t="n">
        <v>0</v>
      </c>
      <c r="M36" s="1" t="n">
        <v>6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104</v>
      </c>
      <c r="V36" s="1" t="n">
        <v>0</v>
      </c>
      <c r="W36" s="1" t="n">
        <v>0</v>
      </c>
      <c r="X36" s="1" t="n">
        <v>0</v>
      </c>
      <c r="Y36" s="1" t="n">
        <v>1</v>
      </c>
      <c r="Z36" s="1" t="n">
        <v>1</v>
      </c>
      <c r="AA36" s="1" t="n">
        <v>59</v>
      </c>
      <c r="AB36" s="1" t="n">
        <v>0</v>
      </c>
      <c r="AC36" s="1" t="n">
        <v>0</v>
      </c>
      <c r="AD36" s="1" t="n">
        <v>3</v>
      </c>
      <c r="AE36" s="1" t="n">
        <v>0</v>
      </c>
      <c r="AF36" s="1" t="n">
        <v>0</v>
      </c>
      <c r="AG36" s="1" t="n">
        <v>0</v>
      </c>
      <c r="AH36" s="1" t="n">
        <v>1</v>
      </c>
      <c r="AI36" s="1" t="n">
        <v>1</v>
      </c>
      <c r="AJ36" s="1" t="n">
        <v>1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1</v>
      </c>
      <c r="AS36" s="1" t="n">
        <v>0</v>
      </c>
      <c r="AT36" s="1" t="n">
        <v>25</v>
      </c>
      <c r="AU36" s="1" t="n">
        <v>0</v>
      </c>
      <c r="AV36" s="1" t="n">
        <v>0</v>
      </c>
      <c r="AW36" s="1" t="n">
        <v>0</v>
      </c>
      <c r="AX36" s="1" t="n">
        <v>17</v>
      </c>
      <c r="AY36" s="1" t="n">
        <v>4</v>
      </c>
      <c r="AZ36" s="1" t="n">
        <v>1</v>
      </c>
      <c r="BA36" s="1" t="n">
        <v>5</v>
      </c>
      <c r="BB36" s="1" t="n">
        <v>3</v>
      </c>
      <c r="BC36" s="1" t="n">
        <v>3</v>
      </c>
      <c r="BD36" s="1" t="n">
        <v>1</v>
      </c>
      <c r="BE36" s="1" t="n">
        <v>0</v>
      </c>
    </row>
    <row r="37" customFormat="false" ht="12.8" hidden="false" customHeight="false" outlineLevel="0" collapsed="false">
      <c r="A37" s="1" t="s">
        <v>54</v>
      </c>
      <c r="B37" s="1" t="n">
        <v>0</v>
      </c>
      <c r="C37" s="1" t="n">
        <v>0</v>
      </c>
      <c r="D37" s="1" t="n">
        <v>4</v>
      </c>
      <c r="E37" s="1" t="n">
        <v>28</v>
      </c>
      <c r="F37" s="1" t="n">
        <v>16</v>
      </c>
      <c r="G37" s="1" t="n">
        <v>0</v>
      </c>
      <c r="H37" s="1" t="n">
        <v>78</v>
      </c>
      <c r="I37" s="1" t="n">
        <v>0</v>
      </c>
      <c r="J37" s="1" t="n">
        <v>25</v>
      </c>
      <c r="K37" s="1" t="n">
        <v>3</v>
      </c>
      <c r="L37" s="1" t="n">
        <v>0</v>
      </c>
      <c r="M37" s="1" t="n">
        <v>3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1</v>
      </c>
      <c r="U37" s="1" t="n">
        <v>84</v>
      </c>
      <c r="V37" s="1" t="n">
        <v>0</v>
      </c>
      <c r="W37" s="1" t="n">
        <v>0</v>
      </c>
      <c r="X37" s="1" t="n">
        <v>0</v>
      </c>
      <c r="Y37" s="1" t="n">
        <v>5</v>
      </c>
      <c r="Z37" s="1" t="n">
        <v>7</v>
      </c>
      <c r="AA37" s="1" t="n">
        <v>62</v>
      </c>
      <c r="AB37" s="1" t="n">
        <v>0</v>
      </c>
      <c r="AC37" s="1" t="n">
        <v>0</v>
      </c>
      <c r="AD37" s="1" t="n">
        <v>1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1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1</v>
      </c>
      <c r="AS37" s="1" t="n">
        <v>0</v>
      </c>
      <c r="AT37" s="1" t="n">
        <v>19</v>
      </c>
      <c r="AU37" s="1" t="n">
        <v>0</v>
      </c>
      <c r="AV37" s="1" t="n">
        <v>0</v>
      </c>
      <c r="AW37" s="1" t="n">
        <v>0</v>
      </c>
      <c r="AX37" s="1" t="n">
        <v>14</v>
      </c>
      <c r="AY37" s="1" t="n">
        <v>7</v>
      </c>
      <c r="AZ37" s="1" t="n">
        <v>0</v>
      </c>
      <c r="BA37" s="1" t="n">
        <v>6</v>
      </c>
      <c r="BB37" s="1" t="n">
        <v>2</v>
      </c>
      <c r="BC37" s="1" t="n">
        <v>10</v>
      </c>
      <c r="BD37" s="1" t="n">
        <v>1</v>
      </c>
      <c r="BE37" s="1" t="n">
        <v>0</v>
      </c>
    </row>
    <row r="38" customFormat="false" ht="12.8" hidden="false" customHeight="false" outlineLevel="0" collapsed="false">
      <c r="A38" s="1" t="s">
        <v>55</v>
      </c>
      <c r="B38" s="1" t="n">
        <v>0</v>
      </c>
      <c r="C38" s="1" t="n">
        <v>0</v>
      </c>
      <c r="D38" s="1" t="n">
        <v>2</v>
      </c>
      <c r="E38" s="1" t="n">
        <v>111</v>
      </c>
      <c r="F38" s="1" t="n">
        <v>20</v>
      </c>
      <c r="G38" s="1" t="n">
        <v>11</v>
      </c>
      <c r="H38" s="1" t="n">
        <v>135</v>
      </c>
      <c r="I38" s="1" t="n">
        <v>1</v>
      </c>
      <c r="J38" s="1" t="n">
        <v>34</v>
      </c>
      <c r="K38" s="1" t="n">
        <v>4</v>
      </c>
      <c r="L38" s="1" t="n">
        <v>0</v>
      </c>
      <c r="M38" s="1" t="n">
        <v>13</v>
      </c>
      <c r="N38" s="1" t="n">
        <v>0</v>
      </c>
      <c r="O38" s="1" t="n">
        <v>2</v>
      </c>
      <c r="P38" s="1" t="n">
        <v>1</v>
      </c>
      <c r="Q38" s="1" t="n">
        <v>0</v>
      </c>
      <c r="R38" s="1" t="n">
        <v>0</v>
      </c>
      <c r="S38" s="1" t="n">
        <v>0</v>
      </c>
      <c r="T38" s="1" t="n">
        <v>1</v>
      </c>
      <c r="U38" s="1" t="n">
        <v>535</v>
      </c>
      <c r="V38" s="1" t="n">
        <v>0</v>
      </c>
      <c r="W38" s="1" t="n">
        <v>0</v>
      </c>
      <c r="X38" s="1" t="n">
        <v>0</v>
      </c>
      <c r="Y38" s="1" t="n">
        <v>3</v>
      </c>
      <c r="Z38" s="1" t="n">
        <v>4</v>
      </c>
      <c r="AA38" s="1" t="n">
        <v>67</v>
      </c>
      <c r="AB38" s="1" t="n">
        <v>0</v>
      </c>
      <c r="AC38" s="1" t="n">
        <v>0</v>
      </c>
      <c r="AD38" s="1" t="n">
        <v>1</v>
      </c>
      <c r="AE38" s="1" t="n">
        <v>0</v>
      </c>
      <c r="AF38" s="1" t="n">
        <v>2</v>
      </c>
      <c r="AG38" s="1" t="n">
        <v>0</v>
      </c>
      <c r="AH38" s="1" t="n">
        <v>1</v>
      </c>
      <c r="AI38" s="1" t="n">
        <v>0</v>
      </c>
      <c r="AJ38" s="1" t="n">
        <v>1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1</v>
      </c>
      <c r="AS38" s="1" t="n">
        <v>0</v>
      </c>
      <c r="AT38" s="1" t="n">
        <v>111</v>
      </c>
      <c r="AU38" s="1" t="n">
        <v>0</v>
      </c>
      <c r="AV38" s="1" t="n">
        <v>0</v>
      </c>
      <c r="AW38" s="1" t="n">
        <v>0</v>
      </c>
      <c r="AX38" s="1" t="n">
        <v>38</v>
      </c>
      <c r="AY38" s="1" t="n">
        <v>5</v>
      </c>
      <c r="AZ38" s="1" t="n">
        <v>0</v>
      </c>
      <c r="BA38" s="1" t="n">
        <v>6</v>
      </c>
      <c r="BB38" s="1" t="n">
        <v>7</v>
      </c>
      <c r="BC38" s="1" t="n">
        <v>4</v>
      </c>
      <c r="BD38" s="1" t="n">
        <v>0</v>
      </c>
      <c r="BE38" s="1" t="n">
        <v>0</v>
      </c>
    </row>
    <row r="39" customFormat="false" ht="12.8" hidden="false" customHeight="false" outlineLevel="0" collapsed="false">
      <c r="A39" s="1" t="s">
        <v>56</v>
      </c>
      <c r="B39" s="1" t="n">
        <v>0</v>
      </c>
      <c r="C39" s="1" t="n">
        <v>0</v>
      </c>
      <c r="D39" s="1" t="n">
        <v>14</v>
      </c>
      <c r="E39" s="1" t="n">
        <v>77</v>
      </c>
      <c r="F39" s="1" t="n">
        <v>8</v>
      </c>
      <c r="G39" s="1" t="n">
        <v>4</v>
      </c>
      <c r="H39" s="1" t="n">
        <v>84</v>
      </c>
      <c r="I39" s="1" t="n">
        <v>2</v>
      </c>
      <c r="J39" s="1" t="n">
        <v>19</v>
      </c>
      <c r="K39" s="1" t="n">
        <v>9</v>
      </c>
      <c r="L39" s="1" t="n">
        <v>0</v>
      </c>
      <c r="M39" s="1" t="n">
        <v>2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4</v>
      </c>
      <c r="U39" s="1" t="n">
        <v>111</v>
      </c>
      <c r="V39" s="1" t="n">
        <v>0</v>
      </c>
      <c r="W39" s="1" t="n">
        <v>0</v>
      </c>
      <c r="X39" s="1" t="n">
        <v>0</v>
      </c>
      <c r="Y39" s="1" t="n">
        <v>1</v>
      </c>
      <c r="Z39" s="1" t="n">
        <v>2</v>
      </c>
      <c r="AA39" s="1" t="n">
        <v>84</v>
      </c>
      <c r="AB39" s="1" t="n">
        <v>0</v>
      </c>
      <c r="AC39" s="1" t="n">
        <v>0</v>
      </c>
      <c r="AD39" s="1" t="n">
        <v>3</v>
      </c>
      <c r="AE39" s="1" t="n">
        <v>0</v>
      </c>
      <c r="AF39" s="1" t="n">
        <v>3</v>
      </c>
      <c r="AG39" s="1" t="n">
        <v>0</v>
      </c>
      <c r="AH39" s="1" t="n">
        <v>1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1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1</v>
      </c>
      <c r="AS39" s="1" t="n">
        <v>3</v>
      </c>
      <c r="AT39" s="1" t="n">
        <v>87</v>
      </c>
      <c r="AU39" s="1" t="n">
        <v>0</v>
      </c>
      <c r="AV39" s="1" t="n">
        <v>0</v>
      </c>
      <c r="AW39" s="1" t="n">
        <v>0</v>
      </c>
      <c r="AX39" s="1" t="n">
        <v>9</v>
      </c>
      <c r="AY39" s="1" t="n">
        <v>4</v>
      </c>
      <c r="AZ39" s="1" t="n">
        <v>0</v>
      </c>
      <c r="BA39" s="1" t="n">
        <v>1</v>
      </c>
      <c r="BB39" s="1" t="n">
        <v>0</v>
      </c>
      <c r="BC39" s="1" t="n">
        <v>8</v>
      </c>
      <c r="BD39" s="1" t="n">
        <v>1</v>
      </c>
      <c r="BE39" s="1" t="n">
        <v>0</v>
      </c>
    </row>
    <row r="40" customFormat="false" ht="12.8" hidden="false" customHeight="false" outlineLevel="0" collapsed="false">
      <c r="A40" s="1" t="s">
        <v>57</v>
      </c>
      <c r="B40" s="1" t="n">
        <v>0</v>
      </c>
      <c r="C40" s="1" t="n">
        <v>0</v>
      </c>
      <c r="D40" s="1" t="n">
        <v>4</v>
      </c>
      <c r="E40" s="1" t="n">
        <v>38</v>
      </c>
      <c r="F40" s="1" t="n">
        <v>15</v>
      </c>
      <c r="G40" s="1" t="n">
        <v>3</v>
      </c>
      <c r="H40" s="1" t="n">
        <v>71</v>
      </c>
      <c r="I40" s="1" t="n">
        <v>1</v>
      </c>
      <c r="J40" s="1" t="n">
        <v>26</v>
      </c>
      <c r="K40" s="1" t="n">
        <v>5</v>
      </c>
      <c r="L40" s="1" t="n">
        <v>0</v>
      </c>
      <c r="M40" s="1" t="n">
        <v>2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1</v>
      </c>
      <c r="U40" s="1" t="n">
        <v>70</v>
      </c>
      <c r="V40" s="1" t="n">
        <v>0</v>
      </c>
      <c r="W40" s="1" t="n">
        <v>0</v>
      </c>
      <c r="X40" s="1" t="n">
        <v>0</v>
      </c>
      <c r="Y40" s="1" t="n">
        <v>9</v>
      </c>
      <c r="Z40" s="1" t="n">
        <v>2</v>
      </c>
      <c r="AA40" s="1" t="n">
        <v>86</v>
      </c>
      <c r="AB40" s="1" t="n">
        <v>0</v>
      </c>
      <c r="AC40" s="1" t="n">
        <v>0</v>
      </c>
      <c r="AD40" s="1" t="n">
        <v>1</v>
      </c>
      <c r="AE40" s="1" t="n">
        <v>0</v>
      </c>
      <c r="AF40" s="1" t="n">
        <v>2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41</v>
      </c>
      <c r="AU40" s="1" t="n">
        <v>0</v>
      </c>
      <c r="AV40" s="1" t="n">
        <v>0</v>
      </c>
      <c r="AW40" s="1" t="n">
        <v>0</v>
      </c>
      <c r="AX40" s="1" t="n">
        <v>7</v>
      </c>
      <c r="AY40" s="1" t="n">
        <v>2</v>
      </c>
      <c r="AZ40" s="1" t="n">
        <v>0</v>
      </c>
      <c r="BA40" s="1" t="n">
        <v>2</v>
      </c>
      <c r="BB40" s="1" t="n">
        <v>0</v>
      </c>
      <c r="BC40" s="1" t="n">
        <v>21</v>
      </c>
      <c r="BD40" s="1" t="n">
        <v>0</v>
      </c>
      <c r="BE40" s="1" t="n">
        <v>0</v>
      </c>
    </row>
    <row r="41" customFormat="false" ht="12.8" hidden="false" customHeight="false" outlineLevel="0" collapsed="false">
      <c r="A41" s="1" t="s">
        <v>58</v>
      </c>
      <c r="B41" s="1" t="n">
        <v>0</v>
      </c>
      <c r="C41" s="1" t="n">
        <v>0</v>
      </c>
      <c r="D41" s="1" t="n">
        <v>3</v>
      </c>
      <c r="E41" s="1" t="n">
        <v>38</v>
      </c>
      <c r="F41" s="1" t="n">
        <v>18</v>
      </c>
      <c r="G41" s="1" t="n">
        <v>1</v>
      </c>
      <c r="H41" s="1" t="n">
        <v>54</v>
      </c>
      <c r="I41" s="1" t="n">
        <v>0</v>
      </c>
      <c r="J41" s="1" t="n">
        <v>10</v>
      </c>
      <c r="K41" s="1" t="n">
        <v>0</v>
      </c>
      <c r="L41" s="1" t="n">
        <v>0</v>
      </c>
      <c r="M41" s="1" t="n">
        <v>4</v>
      </c>
      <c r="N41" s="1" t="n">
        <v>0</v>
      </c>
      <c r="O41" s="1" t="n">
        <v>1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3</v>
      </c>
      <c r="U41" s="1" t="n">
        <v>64</v>
      </c>
      <c r="V41" s="1" t="n">
        <v>0</v>
      </c>
      <c r="W41" s="1" t="n">
        <v>0</v>
      </c>
      <c r="X41" s="1" t="n">
        <v>0</v>
      </c>
      <c r="Y41" s="1" t="n">
        <v>5</v>
      </c>
      <c r="Z41" s="1" t="n">
        <v>3</v>
      </c>
      <c r="AA41" s="1" t="n">
        <v>59</v>
      </c>
      <c r="AB41" s="1" t="n">
        <v>0</v>
      </c>
      <c r="AC41" s="1" t="n">
        <v>0</v>
      </c>
      <c r="AD41" s="1" t="n">
        <v>2</v>
      </c>
      <c r="AE41" s="1" t="n">
        <v>0</v>
      </c>
      <c r="AF41" s="1" t="n">
        <v>2</v>
      </c>
      <c r="AG41" s="1" t="n">
        <v>0</v>
      </c>
      <c r="AH41" s="1" t="n">
        <v>1</v>
      </c>
      <c r="AI41" s="1" t="n">
        <v>3</v>
      </c>
      <c r="AJ41" s="1" t="n">
        <v>1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33</v>
      </c>
      <c r="AU41" s="1" t="n">
        <v>0</v>
      </c>
      <c r="AV41" s="1" t="n">
        <v>0</v>
      </c>
      <c r="AW41" s="1" t="n">
        <v>0</v>
      </c>
      <c r="AX41" s="1" t="n">
        <v>4</v>
      </c>
      <c r="AY41" s="1" t="n">
        <v>1</v>
      </c>
      <c r="AZ41" s="1" t="n">
        <v>0</v>
      </c>
      <c r="BA41" s="1" t="n">
        <v>1</v>
      </c>
      <c r="BB41" s="1" t="n">
        <v>1</v>
      </c>
      <c r="BC41" s="1" t="n">
        <v>13</v>
      </c>
      <c r="BD41" s="1" t="n">
        <v>0</v>
      </c>
      <c r="BE41" s="1" t="n">
        <v>0</v>
      </c>
    </row>
    <row r="42" customFormat="false" ht="12.8" hidden="false" customHeight="false" outlineLevel="0" collapsed="false">
      <c r="A42" s="1" t="s">
        <v>59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2</v>
      </c>
      <c r="K42" s="1" t="n">
        <v>0</v>
      </c>
      <c r="L42" s="1" t="n">
        <v>0</v>
      </c>
      <c r="M42" s="1" t="n">
        <v>1</v>
      </c>
      <c r="N42" s="1" t="n">
        <v>0</v>
      </c>
      <c r="O42" s="1" t="n">
        <v>2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5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4</v>
      </c>
      <c r="AQ42" s="1" t="n">
        <v>0</v>
      </c>
      <c r="AR42" s="1" t="n">
        <v>1</v>
      </c>
      <c r="AS42" s="1" t="n">
        <v>0</v>
      </c>
      <c r="AT42" s="1" t="n">
        <v>2</v>
      </c>
      <c r="AU42" s="1" t="n">
        <v>0</v>
      </c>
      <c r="AV42" s="1" t="n">
        <v>1</v>
      </c>
      <c r="AW42" s="1" t="n">
        <v>0</v>
      </c>
      <c r="AX42" s="1" t="n">
        <v>2</v>
      </c>
      <c r="AY42" s="1" t="n">
        <v>1</v>
      </c>
      <c r="AZ42" s="1" t="n">
        <v>0</v>
      </c>
      <c r="BA42" s="1" t="n">
        <v>4</v>
      </c>
      <c r="BB42" s="1" t="n">
        <v>0</v>
      </c>
      <c r="BC42" s="1" t="n">
        <v>1</v>
      </c>
      <c r="BD42" s="1" t="n">
        <v>0</v>
      </c>
      <c r="BE42" s="1" t="n">
        <v>0</v>
      </c>
    </row>
    <row r="43" customFormat="false" ht="12.8" hidden="false" customHeight="false" outlineLevel="0" collapsed="false">
      <c r="A43" s="1" t="s">
        <v>60</v>
      </c>
      <c r="B43" s="1" t="n">
        <v>0</v>
      </c>
      <c r="C43" s="1" t="n">
        <v>0</v>
      </c>
      <c r="D43" s="1" t="n">
        <v>4</v>
      </c>
      <c r="E43" s="1" t="n">
        <v>1</v>
      </c>
      <c r="F43" s="1" t="n">
        <v>5</v>
      </c>
      <c r="G43" s="1" t="n">
        <v>0</v>
      </c>
      <c r="H43" s="1" t="n">
        <v>16</v>
      </c>
      <c r="I43" s="1" t="n">
        <v>0</v>
      </c>
      <c r="J43" s="1" t="n">
        <v>38</v>
      </c>
      <c r="K43" s="1" t="n">
        <v>1</v>
      </c>
      <c r="L43" s="1" t="n">
        <v>0</v>
      </c>
      <c r="M43" s="1" t="n">
        <v>1</v>
      </c>
      <c r="N43" s="1" t="n">
        <v>0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1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3</v>
      </c>
      <c r="AB43" s="1" t="n">
        <v>0</v>
      </c>
      <c r="AC43" s="1" t="n">
        <v>0</v>
      </c>
      <c r="AD43" s="1" t="n">
        <v>9</v>
      </c>
      <c r="AE43" s="1" t="n">
        <v>0</v>
      </c>
      <c r="AF43" s="1" t="n">
        <v>12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1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240</v>
      </c>
      <c r="AU43" s="1" t="n">
        <v>0</v>
      </c>
      <c r="AV43" s="1" t="n">
        <v>0</v>
      </c>
      <c r="AW43" s="1" t="n">
        <v>0</v>
      </c>
      <c r="AX43" s="1" t="n">
        <v>8</v>
      </c>
      <c r="AY43" s="1" t="n">
        <v>6</v>
      </c>
      <c r="AZ43" s="1" t="n">
        <v>0</v>
      </c>
      <c r="BA43" s="1" t="n">
        <v>56</v>
      </c>
      <c r="BB43" s="1" t="n">
        <v>0</v>
      </c>
      <c r="BC43" s="1" t="n">
        <v>6</v>
      </c>
      <c r="BD43" s="1" t="n">
        <v>0</v>
      </c>
      <c r="BE43" s="1" t="n">
        <v>0</v>
      </c>
    </row>
    <row r="44" customFormat="false" ht="12.8" hidden="false" customHeight="false" outlineLevel="0" collapsed="false">
      <c r="A44" s="1" t="s">
        <v>61</v>
      </c>
      <c r="B44" s="1" t="n">
        <v>0</v>
      </c>
      <c r="C44" s="1" t="n">
        <v>0</v>
      </c>
      <c r="D44" s="1" t="n">
        <v>3</v>
      </c>
      <c r="E44" s="1" t="n">
        <v>2</v>
      </c>
      <c r="F44" s="1" t="n">
        <v>2</v>
      </c>
      <c r="G44" s="1" t="n">
        <v>2</v>
      </c>
      <c r="H44" s="1" t="n">
        <v>19</v>
      </c>
      <c r="I44" s="1" t="n">
        <v>0</v>
      </c>
      <c r="J44" s="1" t="n">
        <v>14</v>
      </c>
      <c r="K44" s="1" t="n">
        <v>1</v>
      </c>
      <c r="L44" s="1" t="n">
        <v>0</v>
      </c>
      <c r="M44" s="1" t="n">
        <v>1</v>
      </c>
      <c r="N44" s="1" t="n">
        <v>0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3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6</v>
      </c>
      <c r="AG44" s="1" t="n">
        <v>0</v>
      </c>
      <c r="AH44" s="1" t="n">
        <v>6</v>
      </c>
      <c r="AI44" s="1" t="n">
        <v>2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27</v>
      </c>
      <c r="AU44" s="1" t="n">
        <v>0</v>
      </c>
      <c r="AV44" s="1" t="n">
        <v>0</v>
      </c>
      <c r="AW44" s="1" t="n">
        <v>0</v>
      </c>
      <c r="AX44" s="1" t="n">
        <v>17</v>
      </c>
      <c r="AY44" s="1" t="n">
        <v>10</v>
      </c>
      <c r="AZ44" s="1" t="n">
        <v>0</v>
      </c>
      <c r="BA44" s="1" t="n">
        <v>12</v>
      </c>
      <c r="BB44" s="1" t="n">
        <v>0</v>
      </c>
      <c r="BC44" s="1" t="n">
        <v>6</v>
      </c>
      <c r="BD44" s="1" t="n">
        <v>0</v>
      </c>
      <c r="BE44" s="1" t="n">
        <v>0</v>
      </c>
    </row>
    <row r="45" customFormat="false" ht="12.8" hidden="false" customHeight="false" outlineLevel="0" collapsed="false">
      <c r="A45" s="1" t="s">
        <v>62</v>
      </c>
      <c r="B45" s="1" t="n">
        <v>0</v>
      </c>
      <c r="C45" s="1" t="n">
        <v>0</v>
      </c>
      <c r="D45" s="1" t="n">
        <v>12</v>
      </c>
      <c r="E45" s="1" t="n">
        <v>0</v>
      </c>
      <c r="F45" s="1" t="n">
        <v>55</v>
      </c>
      <c r="G45" s="1" t="n">
        <v>0</v>
      </c>
      <c r="H45" s="1" t="n">
        <v>0</v>
      </c>
      <c r="I45" s="1" t="n">
        <v>40</v>
      </c>
      <c r="J45" s="1" t="n">
        <v>4</v>
      </c>
      <c r="K45" s="1" t="n">
        <v>0</v>
      </c>
      <c r="L45" s="1" t="n">
        <v>0</v>
      </c>
      <c r="M45" s="1" t="n">
        <v>29</v>
      </c>
      <c r="N45" s="1" t="n">
        <v>1</v>
      </c>
      <c r="O45" s="1" t="n">
        <v>2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30</v>
      </c>
      <c r="U45" s="1" t="n">
        <v>39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13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1</v>
      </c>
      <c r="AG45" s="1" t="n">
        <v>0</v>
      </c>
      <c r="AH45" s="1" t="n">
        <v>1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4</v>
      </c>
      <c r="AS45" s="1" t="n">
        <v>0</v>
      </c>
      <c r="AT45" s="1" t="n">
        <v>150</v>
      </c>
      <c r="AU45" s="1" t="n">
        <v>0</v>
      </c>
      <c r="AV45" s="1" t="n">
        <v>0</v>
      </c>
      <c r="AW45" s="1" t="n">
        <v>0</v>
      </c>
      <c r="AX45" s="1" t="n">
        <v>6</v>
      </c>
      <c r="AY45" s="1" t="n">
        <v>1</v>
      </c>
      <c r="AZ45" s="1" t="n">
        <v>0</v>
      </c>
      <c r="BA45" s="1" t="n">
        <v>0</v>
      </c>
      <c r="BB45" s="1" t="n">
        <v>0</v>
      </c>
      <c r="BC45" s="1" t="n">
        <v>10</v>
      </c>
      <c r="BD45" s="1" t="n">
        <v>0</v>
      </c>
      <c r="BE45" s="1" t="n">
        <v>0</v>
      </c>
    </row>
    <row r="46" customFormat="false" ht="12.8" hidden="false" customHeight="false" outlineLevel="0" collapsed="false">
      <c r="A46" s="1" t="s">
        <v>63</v>
      </c>
      <c r="B46" s="1" t="n">
        <v>0</v>
      </c>
      <c r="C46" s="1" t="n">
        <v>0</v>
      </c>
      <c r="D46" s="12" t="n">
        <v>1</v>
      </c>
      <c r="E46" s="12" t="n">
        <v>0</v>
      </c>
      <c r="F46" s="1" t="n">
        <v>32</v>
      </c>
      <c r="G46" s="1" t="n">
        <v>0</v>
      </c>
      <c r="H46" s="1" t="n">
        <v>1</v>
      </c>
      <c r="I46" s="1" t="n">
        <v>19</v>
      </c>
      <c r="J46" s="1" t="n">
        <v>1</v>
      </c>
      <c r="K46" s="1" t="n">
        <v>0</v>
      </c>
      <c r="L46" s="1" t="n">
        <v>0</v>
      </c>
      <c r="M46" s="1" t="n">
        <v>6</v>
      </c>
      <c r="N46" s="1" t="n">
        <v>0</v>
      </c>
      <c r="O46" s="1" t="n">
        <v>1</v>
      </c>
      <c r="P46" s="1" t="n">
        <v>0</v>
      </c>
      <c r="Q46" s="1" t="n">
        <v>0</v>
      </c>
      <c r="R46" s="1" t="n">
        <v>3</v>
      </c>
      <c r="S46" s="1" t="n">
        <v>0</v>
      </c>
      <c r="T46" s="1" t="n">
        <v>18</v>
      </c>
      <c r="U46" s="1" t="n">
        <v>14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2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1</v>
      </c>
      <c r="AS46" s="1" t="n">
        <v>1</v>
      </c>
      <c r="AT46" s="1" t="n">
        <v>96</v>
      </c>
      <c r="AU46" s="1" t="n">
        <v>0</v>
      </c>
      <c r="AV46" s="1" t="n">
        <v>0</v>
      </c>
      <c r="AW46" s="1" t="n">
        <v>0</v>
      </c>
      <c r="AX46" s="1" t="n">
        <v>4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2</v>
      </c>
      <c r="BD46" s="1" t="n">
        <v>0</v>
      </c>
      <c r="BE46" s="1" t="n">
        <v>0</v>
      </c>
    </row>
    <row r="47" customFormat="false" ht="12.8" hidden="false" customHeight="false" outlineLevel="0" collapsed="false">
      <c r="A47" s="1" t="s">
        <v>64</v>
      </c>
      <c r="B47" s="1" t="n">
        <v>0</v>
      </c>
      <c r="C47" s="1" t="n">
        <v>0</v>
      </c>
      <c r="D47" s="12" t="n">
        <v>1</v>
      </c>
      <c r="E47" s="1" t="n">
        <v>0</v>
      </c>
      <c r="F47" s="1" t="n">
        <v>46</v>
      </c>
      <c r="G47" s="1" t="n">
        <v>0</v>
      </c>
      <c r="H47" s="1" t="n">
        <v>0</v>
      </c>
      <c r="I47" s="1" t="n">
        <v>44</v>
      </c>
      <c r="J47" s="1" t="n">
        <v>1</v>
      </c>
      <c r="K47" s="1" t="n">
        <v>0</v>
      </c>
      <c r="L47" s="1" t="n">
        <v>0</v>
      </c>
      <c r="M47" s="1" t="n">
        <v>27</v>
      </c>
      <c r="N47" s="1" t="n">
        <v>0</v>
      </c>
      <c r="O47" s="1" t="n">
        <v>6</v>
      </c>
      <c r="P47" s="1" t="n">
        <v>0</v>
      </c>
      <c r="Q47" s="1" t="n">
        <v>0</v>
      </c>
      <c r="R47" s="1" t="n">
        <v>1</v>
      </c>
      <c r="S47" s="1" t="n">
        <v>0</v>
      </c>
      <c r="T47" s="1" t="n">
        <v>41</v>
      </c>
      <c r="U47" s="1" t="n">
        <v>36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17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1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343</v>
      </c>
      <c r="AU47" s="1" t="n">
        <v>0</v>
      </c>
      <c r="AV47" s="1" t="n">
        <v>0</v>
      </c>
      <c r="AW47" s="1" t="n">
        <v>0</v>
      </c>
      <c r="AX47" s="1" t="n">
        <v>7</v>
      </c>
      <c r="AY47" s="1" t="n">
        <v>0</v>
      </c>
      <c r="AZ47" s="1" t="n">
        <v>0</v>
      </c>
      <c r="BA47" s="1" t="n">
        <v>1</v>
      </c>
      <c r="BB47" s="1" t="n">
        <v>0</v>
      </c>
      <c r="BC47" s="1" t="n">
        <v>6</v>
      </c>
      <c r="BD47" s="1" t="n">
        <v>0</v>
      </c>
      <c r="BE47" s="1" t="n">
        <v>0</v>
      </c>
    </row>
    <row r="48" customFormat="false" ht="12.8" hidden="false" customHeight="false" outlineLevel="0" collapsed="false">
      <c r="A48" s="1" t="s">
        <v>65</v>
      </c>
      <c r="B48" s="1" t="n">
        <v>0</v>
      </c>
      <c r="C48" s="1" t="n">
        <v>1</v>
      </c>
      <c r="D48" s="12" t="n">
        <v>6</v>
      </c>
      <c r="E48" s="12" t="n">
        <v>0</v>
      </c>
      <c r="F48" s="1" t="n">
        <v>6</v>
      </c>
      <c r="G48" s="1" t="n">
        <v>0</v>
      </c>
      <c r="H48" s="1" t="n">
        <v>0</v>
      </c>
      <c r="I48" s="1" t="n">
        <v>6</v>
      </c>
      <c r="J48" s="1" t="n">
        <v>1</v>
      </c>
      <c r="K48" s="1" t="n">
        <v>0</v>
      </c>
      <c r="L48" s="1" t="n">
        <v>0</v>
      </c>
      <c r="M48" s="1" t="n">
        <v>8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6</v>
      </c>
      <c r="U48" s="1" t="n">
        <v>1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5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2</v>
      </c>
      <c r="AG48" s="1" t="n">
        <v>0</v>
      </c>
      <c r="AH48" s="1" t="n">
        <v>0</v>
      </c>
      <c r="AI48" s="1" t="n">
        <v>1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1</v>
      </c>
      <c r="AT48" s="1" t="n">
        <v>284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2</v>
      </c>
      <c r="AZ48" s="1" t="n">
        <v>0</v>
      </c>
      <c r="BA48" s="1" t="n">
        <v>0</v>
      </c>
      <c r="BB48" s="1" t="n">
        <v>0</v>
      </c>
      <c r="BC48" s="1" t="n">
        <v>4</v>
      </c>
      <c r="BD48" s="1" t="n">
        <v>0</v>
      </c>
      <c r="BE48" s="1" t="n">
        <v>0</v>
      </c>
    </row>
    <row r="49" customFormat="false" ht="12.8" hidden="false" customHeight="false" outlineLevel="0" collapsed="false">
      <c r="A49" s="1" t="s">
        <v>66</v>
      </c>
      <c r="B49" s="1" t="n">
        <v>0</v>
      </c>
      <c r="C49" s="1" t="n">
        <v>0</v>
      </c>
      <c r="D49" s="1" t="n">
        <v>4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15</v>
      </c>
      <c r="N49" s="1" t="n">
        <v>0</v>
      </c>
      <c r="O49" s="1" t="n">
        <v>4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2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3</v>
      </c>
      <c r="AE49" s="1" t="n">
        <v>0</v>
      </c>
      <c r="AF49" s="1" t="n">
        <v>7</v>
      </c>
      <c r="AG49" s="1" t="n">
        <v>0</v>
      </c>
      <c r="AH49" s="1" t="n">
        <v>0</v>
      </c>
      <c r="AI49" s="1" t="n">
        <v>6</v>
      </c>
      <c r="AJ49" s="1" t="n">
        <v>6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6</v>
      </c>
      <c r="AS49" s="1" t="n">
        <v>5</v>
      </c>
      <c r="AT49" s="1" t="n">
        <v>372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11</v>
      </c>
      <c r="AZ49" s="1" t="n">
        <v>0</v>
      </c>
      <c r="BA49" s="1" t="n">
        <v>0</v>
      </c>
      <c r="BB49" s="1" t="n">
        <v>0</v>
      </c>
      <c r="BC49" s="1" t="n">
        <v>3</v>
      </c>
      <c r="BD49" s="1" t="n">
        <v>0</v>
      </c>
      <c r="BE49" s="1" t="n">
        <v>0</v>
      </c>
    </row>
    <row r="50" customFormat="false" ht="12.8" hidden="false" customHeight="false" outlineLevel="0" collapsed="false">
      <c r="A50" s="1" t="s">
        <v>67</v>
      </c>
      <c r="B50" s="1" t="n">
        <v>0</v>
      </c>
      <c r="C50" s="1" t="n">
        <v>0</v>
      </c>
      <c r="D50" s="1" t="n">
        <v>22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2</v>
      </c>
      <c r="K50" s="1" t="n">
        <v>0</v>
      </c>
      <c r="L50" s="1" t="n">
        <v>0</v>
      </c>
      <c r="M50" s="1" t="n">
        <v>7</v>
      </c>
      <c r="N50" s="1" t="n">
        <v>0</v>
      </c>
      <c r="O50" s="1" t="n">
        <v>2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3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2</v>
      </c>
      <c r="AB50" s="1" t="n">
        <v>0</v>
      </c>
      <c r="AC50" s="1" t="n">
        <v>0</v>
      </c>
      <c r="AD50" s="1" t="n">
        <v>0</v>
      </c>
      <c r="AE50" s="1" t="n">
        <v>4</v>
      </c>
      <c r="AF50" s="1" t="n">
        <v>24</v>
      </c>
      <c r="AG50" s="1" t="n">
        <v>0</v>
      </c>
      <c r="AH50" s="1" t="n">
        <v>0</v>
      </c>
      <c r="AI50" s="1" t="n">
        <v>7</v>
      </c>
      <c r="AJ50" s="1" t="n">
        <v>34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1</v>
      </c>
      <c r="AS50" s="1" t="n">
        <v>0</v>
      </c>
      <c r="AT50" s="1" t="n">
        <v>425</v>
      </c>
      <c r="AU50" s="1" t="n">
        <v>0</v>
      </c>
      <c r="AV50" s="1" t="n">
        <v>0</v>
      </c>
      <c r="AW50" s="1" t="n">
        <v>0</v>
      </c>
      <c r="AX50" s="1" t="n">
        <v>2</v>
      </c>
      <c r="AY50" s="1" t="n">
        <v>8</v>
      </c>
      <c r="AZ50" s="1" t="n">
        <v>0</v>
      </c>
      <c r="BA50" s="1" t="n">
        <v>0</v>
      </c>
      <c r="BB50" s="1" t="n">
        <v>0</v>
      </c>
      <c r="BC50" s="1" t="n">
        <v>3</v>
      </c>
      <c r="BD50" s="1" t="n">
        <v>0</v>
      </c>
      <c r="BE50" s="1" t="n">
        <v>0</v>
      </c>
    </row>
    <row r="51" customFormat="false" ht="12.8" hidden="false" customHeight="false" outlineLevel="0" collapsed="false">
      <c r="A51" s="1" t="s">
        <v>68</v>
      </c>
      <c r="B51" s="1" t="n">
        <v>0</v>
      </c>
      <c r="C51" s="1" t="n">
        <v>0</v>
      </c>
      <c r="D51" s="1" t="n">
        <v>11</v>
      </c>
      <c r="E51" s="1" t="n">
        <v>7</v>
      </c>
      <c r="F51" s="1" t="n">
        <v>52</v>
      </c>
      <c r="G51" s="1" t="n">
        <v>1</v>
      </c>
      <c r="H51" s="1" t="n">
        <v>47</v>
      </c>
      <c r="I51" s="1" t="n">
        <v>1</v>
      </c>
      <c r="J51" s="1" t="n">
        <v>6</v>
      </c>
      <c r="K51" s="1" t="n">
        <v>0</v>
      </c>
      <c r="L51" s="1" t="n">
        <v>0</v>
      </c>
      <c r="M51" s="1" t="n">
        <v>779</v>
      </c>
      <c r="N51" s="1" t="n">
        <v>0</v>
      </c>
      <c r="O51" s="1" t="n">
        <v>59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2</v>
      </c>
      <c r="U51" s="1" t="n">
        <v>12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1</v>
      </c>
      <c r="AA51" s="1" t="n">
        <v>47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1</v>
      </c>
      <c r="AG51" s="1" t="n">
        <v>0</v>
      </c>
      <c r="AH51" s="1" t="n">
        <v>0</v>
      </c>
      <c r="AI51" s="1" t="n">
        <v>7</v>
      </c>
      <c r="AJ51" s="1" t="n">
        <v>4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5</v>
      </c>
      <c r="AS51" s="1" t="n">
        <v>7</v>
      </c>
      <c r="AT51" s="1" t="n">
        <v>2051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1</v>
      </c>
      <c r="BB51" s="1" t="n">
        <v>1</v>
      </c>
      <c r="BC51" s="1" t="n">
        <v>7</v>
      </c>
      <c r="BD51" s="1" t="n">
        <v>0</v>
      </c>
      <c r="BE51" s="1" t="n">
        <v>0</v>
      </c>
    </row>
    <row r="52" customFormat="false" ht="12.8" hidden="false" customHeight="false" outlineLevel="0" collapsed="false">
      <c r="A52" s="1" t="s">
        <v>69</v>
      </c>
      <c r="B52" s="1" t="n">
        <v>0</v>
      </c>
      <c r="C52" s="1" t="n">
        <v>0</v>
      </c>
      <c r="D52" s="1" t="n">
        <v>50</v>
      </c>
      <c r="E52" s="1" t="n">
        <v>3</v>
      </c>
      <c r="F52" s="1" t="n">
        <v>105</v>
      </c>
      <c r="G52" s="1" t="n">
        <v>1</v>
      </c>
      <c r="H52" s="1" t="n">
        <v>114</v>
      </c>
      <c r="I52" s="1" t="n">
        <v>1</v>
      </c>
      <c r="J52" s="1" t="n">
        <v>20</v>
      </c>
      <c r="K52" s="1" t="n">
        <v>0</v>
      </c>
      <c r="L52" s="1" t="n">
        <v>1</v>
      </c>
      <c r="M52" s="1" t="n">
        <v>1445</v>
      </c>
      <c r="N52" s="1" t="n">
        <v>0</v>
      </c>
      <c r="O52" s="1" t="n">
        <v>122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7</v>
      </c>
      <c r="U52" s="1" t="n">
        <v>28</v>
      </c>
      <c r="V52" s="1" t="n">
        <v>0</v>
      </c>
      <c r="W52" s="1" t="n">
        <v>0</v>
      </c>
      <c r="X52" s="1" t="n">
        <v>0</v>
      </c>
      <c r="Y52" s="1" t="n">
        <v>4</v>
      </c>
      <c r="Z52" s="1" t="n">
        <v>1</v>
      </c>
      <c r="AA52" s="1" t="n">
        <v>100</v>
      </c>
      <c r="AB52" s="1" t="n">
        <v>0</v>
      </c>
      <c r="AC52" s="1" t="n">
        <v>0</v>
      </c>
      <c r="AD52" s="1" t="n">
        <v>6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8</v>
      </c>
      <c r="AJ52" s="1" t="n">
        <v>7</v>
      </c>
      <c r="AK52" s="1" t="n">
        <v>10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4</v>
      </c>
      <c r="AS52" s="1" t="n">
        <v>22</v>
      </c>
      <c r="AT52" s="1" t="n">
        <v>3879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6</v>
      </c>
      <c r="BC52" s="1" t="n">
        <v>10</v>
      </c>
      <c r="BD52" s="1" t="n">
        <v>1</v>
      </c>
      <c r="BE52" s="1" t="n">
        <v>0</v>
      </c>
    </row>
    <row r="53" customFormat="false" ht="12.8" hidden="false" customHeight="false" outlineLevel="0" collapsed="false">
      <c r="A53" s="1" t="s">
        <v>70</v>
      </c>
      <c r="B53" s="1" t="n">
        <v>0</v>
      </c>
      <c r="C53" s="1" t="n">
        <v>0</v>
      </c>
      <c r="D53" s="1" t="n">
        <v>15</v>
      </c>
      <c r="E53" s="1" t="n">
        <v>0</v>
      </c>
      <c r="F53" s="1" t="n">
        <v>90</v>
      </c>
      <c r="G53" s="1" t="n">
        <v>0</v>
      </c>
      <c r="H53" s="1" t="n">
        <v>44</v>
      </c>
      <c r="I53" s="1" t="n">
        <v>0</v>
      </c>
      <c r="J53" s="1" t="n">
        <v>5</v>
      </c>
      <c r="K53" s="1" t="n">
        <v>0</v>
      </c>
      <c r="L53" s="1" t="n">
        <v>0</v>
      </c>
      <c r="M53" s="1" t="n">
        <v>1116</v>
      </c>
      <c r="N53" s="1" t="n">
        <v>0</v>
      </c>
      <c r="O53" s="1" t="n">
        <v>91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4</v>
      </c>
      <c r="U53" s="1" t="n">
        <v>15</v>
      </c>
      <c r="V53" s="1" t="n">
        <v>0</v>
      </c>
      <c r="W53" s="1" t="n">
        <v>0</v>
      </c>
      <c r="X53" s="1" t="n">
        <v>0</v>
      </c>
      <c r="Y53" s="1" t="n">
        <v>2</v>
      </c>
      <c r="Z53" s="1" t="n">
        <v>1</v>
      </c>
      <c r="AA53" s="1" t="n">
        <v>39</v>
      </c>
      <c r="AB53" s="1" t="n">
        <v>0</v>
      </c>
      <c r="AC53" s="1" t="n">
        <v>0</v>
      </c>
      <c r="AD53" s="1" t="n">
        <v>1</v>
      </c>
      <c r="AE53" s="1" t="n">
        <v>1</v>
      </c>
      <c r="AF53" s="1" t="n">
        <v>0</v>
      </c>
      <c r="AG53" s="1" t="n">
        <v>0</v>
      </c>
      <c r="AH53" s="1" t="n">
        <v>0</v>
      </c>
      <c r="AI53" s="1" t="n">
        <v>3</v>
      </c>
      <c r="AJ53" s="1" t="n">
        <v>1</v>
      </c>
      <c r="AK53" s="1" t="n">
        <v>7</v>
      </c>
      <c r="AL53" s="1" t="n">
        <v>1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2</v>
      </c>
      <c r="AS53" s="1" t="n">
        <v>11</v>
      </c>
      <c r="AT53" s="1" t="n">
        <v>1716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2</v>
      </c>
      <c r="BC53" s="1" t="n">
        <v>7</v>
      </c>
      <c r="BD53" s="1" t="n">
        <v>1</v>
      </c>
      <c r="BE53" s="1" t="n">
        <v>0</v>
      </c>
    </row>
    <row r="54" customFormat="false" ht="12.8" hidden="false" customHeight="false" outlineLevel="0" collapsed="false">
      <c r="A54" s="1" t="s">
        <v>71</v>
      </c>
      <c r="B54" s="1" t="n">
        <v>0</v>
      </c>
      <c r="C54" s="1" t="n">
        <v>0</v>
      </c>
      <c r="D54" s="1" t="n">
        <v>76</v>
      </c>
      <c r="E54" s="1" t="n">
        <v>2</v>
      </c>
      <c r="F54" s="1" t="n">
        <v>141</v>
      </c>
      <c r="G54" s="1" t="n">
        <v>0</v>
      </c>
      <c r="H54" s="1" t="n">
        <v>2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16</v>
      </c>
      <c r="N54" s="1" t="n">
        <v>0</v>
      </c>
      <c r="O54" s="1" t="n">
        <v>2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65</v>
      </c>
      <c r="U54" s="1" t="n">
        <v>8</v>
      </c>
      <c r="V54" s="1" t="n">
        <v>0</v>
      </c>
      <c r="W54" s="1" t="n">
        <v>102</v>
      </c>
      <c r="X54" s="1" t="n">
        <v>0</v>
      </c>
      <c r="Y54" s="1" t="n">
        <v>0</v>
      </c>
      <c r="Z54" s="1" t="n">
        <v>0</v>
      </c>
      <c r="AA54" s="1" t="n">
        <v>3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98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2</v>
      </c>
      <c r="BC54" s="1" t="n">
        <v>0</v>
      </c>
      <c r="BD54" s="1" t="n">
        <v>1</v>
      </c>
      <c r="BE54" s="1" t="n">
        <v>0</v>
      </c>
    </row>
    <row r="55" customFormat="false" ht="12.8" hidden="false" customHeight="false" outlineLevel="0" collapsed="false">
      <c r="A55" s="1" t="s">
        <v>72</v>
      </c>
      <c r="B55" s="1" t="n">
        <v>0</v>
      </c>
      <c r="C55" s="1" t="n">
        <v>0</v>
      </c>
      <c r="D55" s="1" t="n">
        <v>139</v>
      </c>
      <c r="E55" s="1" t="n">
        <v>3</v>
      </c>
      <c r="F55" s="1" t="n">
        <v>91</v>
      </c>
      <c r="G55" s="1" t="n">
        <v>2</v>
      </c>
      <c r="H55" s="1" t="n">
        <v>6</v>
      </c>
      <c r="I55" s="1" t="n">
        <v>2</v>
      </c>
      <c r="J55" s="1" t="n">
        <v>3</v>
      </c>
      <c r="K55" s="1" t="n">
        <v>0</v>
      </c>
      <c r="L55" s="1" t="n">
        <v>0</v>
      </c>
      <c r="M55" s="1" t="n">
        <v>50</v>
      </c>
      <c r="N55" s="1" t="n">
        <v>0</v>
      </c>
      <c r="O55" s="1" t="n">
        <v>6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306</v>
      </c>
      <c r="U55" s="1" t="n">
        <v>9</v>
      </c>
      <c r="V55" s="1" t="n">
        <v>0</v>
      </c>
      <c r="W55" s="1" t="n">
        <v>387</v>
      </c>
      <c r="X55" s="1" t="n">
        <v>0</v>
      </c>
      <c r="Y55" s="1" t="n">
        <v>0</v>
      </c>
      <c r="Z55" s="1" t="n">
        <v>0</v>
      </c>
      <c r="AA55" s="1" t="n">
        <v>9</v>
      </c>
      <c r="AB55" s="1" t="n">
        <v>0</v>
      </c>
      <c r="AC55" s="1" t="n">
        <v>0</v>
      </c>
      <c r="AD55" s="1" t="n">
        <v>1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1</v>
      </c>
      <c r="AJ55" s="1" t="n">
        <v>1</v>
      </c>
      <c r="AK55" s="1" t="n">
        <v>3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194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7</v>
      </c>
      <c r="BC55" s="1" t="n">
        <v>3</v>
      </c>
      <c r="BD55" s="1" t="n">
        <v>0</v>
      </c>
      <c r="BE55" s="1" t="n">
        <v>0</v>
      </c>
    </row>
    <row r="56" customFormat="false" ht="12.8" hidden="false" customHeight="false" outlineLevel="0" collapsed="false">
      <c r="A56" s="1" t="s">
        <v>73</v>
      </c>
      <c r="B56" s="1" t="n">
        <v>0</v>
      </c>
      <c r="C56" s="1" t="n">
        <v>0</v>
      </c>
      <c r="D56" s="1" t="n">
        <v>304</v>
      </c>
      <c r="E56" s="1" t="n">
        <v>4</v>
      </c>
      <c r="F56" s="1" t="n">
        <v>171</v>
      </c>
      <c r="G56" s="1" t="n">
        <v>3</v>
      </c>
      <c r="H56" s="1" t="n">
        <v>2</v>
      </c>
      <c r="I56" s="1" t="n">
        <v>0</v>
      </c>
      <c r="J56" s="1" t="n">
        <v>1</v>
      </c>
      <c r="K56" s="1" t="n">
        <v>3</v>
      </c>
      <c r="L56" s="1" t="n">
        <v>0</v>
      </c>
      <c r="M56" s="1" t="n">
        <v>37</v>
      </c>
      <c r="N56" s="1" t="n">
        <v>0</v>
      </c>
      <c r="O56" s="1" t="n">
        <v>3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309</v>
      </c>
      <c r="U56" s="1" t="n">
        <v>6</v>
      </c>
      <c r="V56" s="1" t="n">
        <v>0</v>
      </c>
      <c r="W56" s="1" t="n">
        <v>433</v>
      </c>
      <c r="X56" s="1" t="n">
        <v>0</v>
      </c>
      <c r="Y56" s="1" t="n">
        <v>1</v>
      </c>
      <c r="Z56" s="1" t="n">
        <v>0</v>
      </c>
      <c r="AA56" s="1" t="n">
        <v>1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1</v>
      </c>
      <c r="AS56" s="1" t="n">
        <v>0</v>
      </c>
      <c r="AT56" s="1" t="n">
        <v>303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8</v>
      </c>
      <c r="BC56" s="1" t="n">
        <v>0</v>
      </c>
      <c r="BD56" s="1" t="n">
        <v>0</v>
      </c>
      <c r="BE56" s="1" t="n">
        <v>0</v>
      </c>
    </row>
    <row r="57" customFormat="false" ht="12.8" hidden="false" customHeight="false" outlineLevel="0" collapsed="false">
      <c r="A57" s="1" t="s">
        <v>74</v>
      </c>
    </row>
    <row r="58" customFormat="false" ht="12.8" hidden="false" customHeight="false" outlineLevel="0" collapsed="false">
      <c r="A58" s="1" t="s">
        <v>76</v>
      </c>
    </row>
    <row r="59" customFormat="false" ht="12.8" hidden="false" customHeight="false" outlineLevel="0" collapsed="false">
      <c r="A59" s="1" t="s">
        <v>77</v>
      </c>
    </row>
    <row r="60" customFormat="false" ht="12.8" hidden="false" customHeight="false" outlineLevel="0" collapsed="false">
      <c r="A60" s="1" t="s">
        <v>78</v>
      </c>
    </row>
    <row r="61" customFormat="false" ht="12.8" hidden="false" customHeight="false" outlineLevel="0" collapsed="false">
      <c r="A61" s="1" t="s">
        <v>79</v>
      </c>
    </row>
    <row r="62" customFormat="false" ht="12.8" hidden="false" customHeight="false" outlineLevel="0" collapsed="false">
      <c r="A62" s="1" t="s">
        <v>80</v>
      </c>
      <c r="T62" s="9"/>
    </row>
    <row r="63" customFormat="false" ht="12.8" hidden="false" customHeight="false" outlineLevel="0" collapsed="false">
      <c r="A63" s="1" t="s">
        <v>81</v>
      </c>
    </row>
    <row r="64" customFormat="false" ht="12.8" hidden="false" customHeight="false" outlineLevel="0" collapsed="false">
      <c r="A64" s="1" t="s">
        <v>82</v>
      </c>
    </row>
    <row r="65" customFormat="false" ht="12.8" hidden="false" customHeight="false" outlineLevel="0" collapsed="false">
      <c r="A65" s="1" t="s">
        <v>83</v>
      </c>
      <c r="T65" s="9"/>
    </row>
    <row r="66" customFormat="false" ht="12.8" hidden="false" customHeight="false" outlineLevel="0" collapsed="false">
      <c r="A66" s="1" t="s">
        <v>84</v>
      </c>
    </row>
    <row r="67" customFormat="false" ht="12.8" hidden="false" customHeight="false" outlineLevel="0" collapsed="false">
      <c r="A67" s="1" t="s">
        <v>85</v>
      </c>
    </row>
    <row r="68" customFormat="false" ht="12.8" hidden="false" customHeight="false" outlineLevel="0" collapsed="false">
      <c r="A68" s="1" t="s">
        <v>86</v>
      </c>
    </row>
    <row r="69" customFormat="false" ht="12.8" hidden="false" customHeight="false" outlineLevel="0" collapsed="false">
      <c r="A69" s="1" t="s">
        <v>87</v>
      </c>
    </row>
    <row r="70" customFormat="false" ht="12.8" hidden="false" customHeight="false" outlineLevel="0" collapsed="false">
      <c r="A70" s="1" t="s">
        <v>88</v>
      </c>
    </row>
    <row r="71" customFormat="false" ht="12.8" hidden="false" customHeight="false" outlineLevel="0" collapsed="false">
      <c r="A71" s="1" t="s">
        <v>89</v>
      </c>
    </row>
    <row r="72" customFormat="false" ht="12.8" hidden="false" customHeight="false" outlineLevel="0" collapsed="false">
      <c r="A72" s="1" t="s">
        <v>90</v>
      </c>
    </row>
    <row r="73" customFormat="false" ht="12.8" hidden="false" customHeight="false" outlineLevel="0" collapsed="false">
      <c r="A73" s="1" t="s">
        <v>91</v>
      </c>
    </row>
    <row r="74" customFormat="false" ht="12.8" hidden="false" customHeight="false" outlineLevel="0" collapsed="false">
      <c r="A74" s="1" t="s">
        <v>92</v>
      </c>
    </row>
    <row r="75" customFormat="false" ht="12.8" hidden="false" customHeight="false" outlineLevel="0" collapsed="false">
      <c r="A75" s="1" t="s">
        <v>93</v>
      </c>
    </row>
    <row r="76" customFormat="false" ht="12.8" hidden="false" customHeight="false" outlineLevel="0" collapsed="false">
      <c r="A76" s="1" t="s">
        <v>94</v>
      </c>
    </row>
    <row r="77" customFormat="false" ht="12.8" hidden="false" customHeight="false" outlineLevel="0" collapsed="false">
      <c r="A77" s="1" t="s">
        <v>95</v>
      </c>
      <c r="F77" s="9"/>
    </row>
    <row r="78" customFormat="false" ht="12.8" hidden="false" customHeight="false" outlineLevel="0" collapsed="false">
      <c r="A78" s="1" t="s">
        <v>96</v>
      </c>
    </row>
    <row r="79" customFormat="false" ht="12.8" hidden="false" customHeight="false" outlineLevel="0" collapsed="false">
      <c r="A79" s="1" t="s">
        <v>97</v>
      </c>
    </row>
    <row r="80" customFormat="false" ht="12.8" hidden="false" customHeight="false" outlineLevel="0" collapsed="false">
      <c r="A80" s="1" t="s">
        <v>98</v>
      </c>
      <c r="F80" s="9"/>
    </row>
    <row r="81" customFormat="false" ht="12.8" hidden="false" customHeight="false" outlineLevel="0" collapsed="false">
      <c r="A81" s="1" t="s">
        <v>99</v>
      </c>
    </row>
    <row r="82" customFormat="false" ht="12.8" hidden="false" customHeight="false" outlineLevel="0" collapsed="false">
      <c r="A82" s="1" t="s">
        <v>100</v>
      </c>
    </row>
    <row r="83" customFormat="false" ht="12.8" hidden="false" customHeight="false" outlineLevel="0" collapsed="false">
      <c r="A83" s="1" t="s">
        <v>101</v>
      </c>
    </row>
    <row r="84" customFormat="false" ht="12.8" hidden="false" customHeight="false" outlineLevel="0" collapsed="false">
      <c r="A84" s="1" t="s">
        <v>102</v>
      </c>
    </row>
    <row r="85" customFormat="false" ht="12.8" hidden="false" customHeight="false" outlineLevel="0" collapsed="false">
      <c r="A85" s="1" t="s">
        <v>103</v>
      </c>
    </row>
    <row r="86" customFormat="false" ht="12.8" hidden="false" customHeight="false" outlineLevel="0" collapsed="false">
      <c r="A86" s="1" t="s">
        <v>104</v>
      </c>
    </row>
    <row r="87" customFormat="false" ht="12.8" hidden="false" customHeight="false" outlineLevel="0" collapsed="false">
      <c r="A87" s="1" t="s">
        <v>105</v>
      </c>
    </row>
    <row r="88" customFormat="false" ht="12.8" hidden="false" customHeight="false" outlineLevel="0" collapsed="false">
      <c r="A88" s="1" t="s">
        <v>106</v>
      </c>
    </row>
    <row r="89" customFormat="false" ht="12.8" hidden="false" customHeight="false" outlineLevel="0" collapsed="false">
      <c r="A89" s="1" t="s">
        <v>107</v>
      </c>
    </row>
    <row r="90" customFormat="false" ht="12.8" hidden="false" customHeight="false" outlineLevel="0" collapsed="false">
      <c r="A90" s="1" t="s">
        <v>108</v>
      </c>
    </row>
    <row r="91" customFormat="false" ht="12.8" hidden="false" customHeight="false" outlineLevel="0" collapsed="false">
      <c r="A91" s="1" t="s">
        <v>109</v>
      </c>
    </row>
    <row r="92" customFormat="false" ht="12.8" hidden="false" customHeight="false" outlineLevel="0" collapsed="false">
      <c r="A92" s="1" t="s">
        <v>110</v>
      </c>
    </row>
    <row r="93" customFormat="false" ht="12.8" hidden="false" customHeight="false" outlineLevel="0" collapsed="false">
      <c r="A93" s="1" t="s">
        <v>111</v>
      </c>
    </row>
    <row r="94" customFormat="false" ht="12.8" hidden="false" customHeight="false" outlineLevel="0" collapsed="false">
      <c r="A94" s="1" t="s">
        <v>112</v>
      </c>
    </row>
    <row r="95" customFormat="false" ht="12.8" hidden="false" customHeight="false" outlineLevel="0" collapsed="false">
      <c r="A95" s="1" t="s">
        <v>113</v>
      </c>
    </row>
    <row r="96" customFormat="false" ht="12.8" hidden="false" customHeight="false" outlineLevel="0" collapsed="false">
      <c r="A96" s="1" t="s">
        <v>114</v>
      </c>
    </row>
    <row r="97" customFormat="false" ht="12.8" hidden="false" customHeight="false" outlineLevel="0" collapsed="false">
      <c r="A97" s="1" t="s">
        <v>115</v>
      </c>
    </row>
    <row r="98" customFormat="false" ht="12.8" hidden="false" customHeight="false" outlineLevel="0" collapsed="false">
      <c r="A98" s="1" t="s">
        <v>116</v>
      </c>
    </row>
    <row r="99" customFormat="false" ht="12.8" hidden="false" customHeight="false" outlineLevel="0" collapsed="false">
      <c r="A99" s="1" t="s">
        <v>117</v>
      </c>
    </row>
    <row r="100" customFormat="false" ht="12.8" hidden="false" customHeight="false" outlineLevel="0" collapsed="false">
      <c r="A100" s="1" t="s">
        <v>118</v>
      </c>
    </row>
    <row r="101" customFormat="false" ht="12.8" hidden="false" customHeight="false" outlineLevel="0" collapsed="false">
      <c r="A101" s="1" t="s">
        <v>119</v>
      </c>
    </row>
    <row r="102" customFormat="false" ht="12.8" hidden="false" customHeight="false" outlineLevel="0" collapsed="false">
      <c r="A102" s="1" t="s">
        <v>120</v>
      </c>
    </row>
    <row r="103" customFormat="false" ht="12.8" hidden="false" customHeight="false" outlineLevel="0" collapsed="false">
      <c r="A103" s="1" t="s">
        <v>121</v>
      </c>
    </row>
    <row r="104" customFormat="false" ht="12.8" hidden="false" customHeight="false" outlineLevel="0" collapsed="false">
      <c r="A104" s="1" t="s">
        <v>122</v>
      </c>
    </row>
    <row r="105" customFormat="false" ht="12.8" hidden="false" customHeight="false" outlineLevel="0" collapsed="false">
      <c r="A105" s="1" t="s">
        <v>123</v>
      </c>
    </row>
    <row r="106" customFormat="false" ht="12.8" hidden="false" customHeight="false" outlineLevel="0" collapsed="false">
      <c r="A106" s="1" t="s">
        <v>124</v>
      </c>
    </row>
    <row r="107" customFormat="false" ht="12.8" hidden="false" customHeight="false" outlineLevel="0" collapsed="false">
      <c r="A107" s="1" t="s">
        <v>125</v>
      </c>
    </row>
    <row r="108" customFormat="false" ht="12.8" hidden="false" customHeight="false" outlineLevel="0" collapsed="false">
      <c r="A108" s="1" t="s">
        <v>126</v>
      </c>
    </row>
    <row r="109" customFormat="false" ht="12.8" hidden="false" customHeight="false" outlineLevel="0" collapsed="false">
      <c r="A109" s="1" t="s">
        <v>127</v>
      </c>
    </row>
    <row r="110" customFormat="false" ht="12.8" hidden="false" customHeight="false" outlineLevel="0" collapsed="false">
      <c r="A110" s="1" t="s">
        <v>128</v>
      </c>
    </row>
    <row r="111" customFormat="false" ht="12.8" hidden="false" customHeight="false" outlineLevel="0" collapsed="false">
      <c r="A111" s="1" t="s">
        <v>129</v>
      </c>
    </row>
    <row r="112" customFormat="false" ht="12.8" hidden="false" customHeight="false" outlineLevel="0" collapsed="false">
      <c r="A112" s="1" t="s">
        <v>130</v>
      </c>
    </row>
    <row r="113" customFormat="false" ht="12.8" hidden="false" customHeight="false" outlineLevel="0" collapsed="false">
      <c r="A113" s="1" t="s">
        <v>131</v>
      </c>
    </row>
    <row r="114" customFormat="false" ht="12.8" hidden="false" customHeight="false" outlineLevel="0" collapsed="false">
      <c r="A114" s="1" t="s">
        <v>132</v>
      </c>
    </row>
    <row r="115" customFormat="false" ht="12.8" hidden="false" customHeight="false" outlineLevel="0" collapsed="false">
      <c r="A115" s="1" t="s">
        <v>133</v>
      </c>
    </row>
    <row r="116" customFormat="false" ht="12.8" hidden="false" customHeight="false" outlineLevel="0" collapsed="false">
      <c r="A116" s="1" t="s">
        <v>134</v>
      </c>
    </row>
    <row r="117" customFormat="false" ht="12.8" hidden="false" customHeight="false" outlineLevel="0" collapsed="false">
      <c r="A117" s="1" t="s">
        <v>135</v>
      </c>
    </row>
    <row r="118" customFormat="false" ht="12.8" hidden="false" customHeight="false" outlineLevel="0" collapsed="false">
      <c r="A118" s="1" t="s">
        <v>136</v>
      </c>
    </row>
    <row r="119" customFormat="false" ht="12.8" hidden="false" customHeight="false" outlineLevel="0" collapsed="false">
      <c r="A119" s="1" t="s">
        <v>137</v>
      </c>
    </row>
    <row r="120" customFormat="false" ht="12.8" hidden="false" customHeight="false" outlineLevel="0" collapsed="false">
      <c r="A120" s="1" t="s">
        <v>138</v>
      </c>
    </row>
    <row r="121" customFormat="false" ht="12.8" hidden="false" customHeight="false" outlineLevel="0" collapsed="false">
      <c r="A121" s="1" t="s">
        <v>139</v>
      </c>
    </row>
    <row r="122" customFormat="false" ht="12.8" hidden="false" customHeight="false" outlineLevel="0" collapsed="false">
      <c r="A122" s="1" t="s">
        <v>140</v>
      </c>
    </row>
    <row r="123" customFormat="false" ht="12.8" hidden="false" customHeight="false" outlineLevel="0" collapsed="false">
      <c r="A123" s="1" t="s">
        <v>141</v>
      </c>
    </row>
    <row r="124" customFormat="false" ht="12.8" hidden="false" customHeight="false" outlineLevel="0" collapsed="false">
      <c r="A124" s="1" t="s">
        <v>142</v>
      </c>
    </row>
    <row r="125" customFormat="false" ht="12.8" hidden="false" customHeight="false" outlineLevel="0" collapsed="false">
      <c r="A125" s="1" t="s">
        <v>143</v>
      </c>
    </row>
    <row r="126" customFormat="false" ht="12.8" hidden="false" customHeight="false" outlineLevel="0" collapsed="false">
      <c r="A126" s="1" t="s">
        <v>144</v>
      </c>
    </row>
    <row r="127" customFormat="false" ht="12.8" hidden="false" customHeight="false" outlineLevel="0" collapsed="false">
      <c r="A127" s="1" t="s">
        <v>145</v>
      </c>
    </row>
    <row r="128" customFormat="false" ht="12.8" hidden="false" customHeight="false" outlineLevel="0" collapsed="false">
      <c r="A128" s="1" t="s">
        <v>146</v>
      </c>
    </row>
    <row r="129" customFormat="false" ht="12.8" hidden="false" customHeight="false" outlineLevel="0" collapsed="false">
      <c r="A129" s="1" t="s">
        <v>147</v>
      </c>
    </row>
    <row r="130" customFormat="false" ht="12.8" hidden="false" customHeight="false" outlineLevel="0" collapsed="false">
      <c r="A130" s="1" t="s">
        <v>148</v>
      </c>
    </row>
    <row r="131" customFormat="false" ht="12.8" hidden="false" customHeight="false" outlineLevel="0" collapsed="false">
      <c r="A131" s="1" t="s">
        <v>149</v>
      </c>
    </row>
    <row r="132" customFormat="false" ht="12.8" hidden="false" customHeight="false" outlineLevel="0" collapsed="false">
      <c r="A132" s="1" t="s">
        <v>150</v>
      </c>
    </row>
    <row r="133" customFormat="false" ht="12.8" hidden="false" customHeight="false" outlineLevel="0" collapsed="false">
      <c r="A133" s="1" t="s">
        <v>151</v>
      </c>
    </row>
    <row r="134" customFormat="false" ht="12.8" hidden="false" customHeight="false" outlineLevel="0" collapsed="false">
      <c r="A134" s="1" t="s">
        <v>152</v>
      </c>
    </row>
    <row r="135" customFormat="false" ht="12.8" hidden="false" customHeight="false" outlineLevel="0" collapsed="false">
      <c r="A135" s="1" t="s">
        <v>153</v>
      </c>
    </row>
    <row r="136" customFormat="false" ht="12.8" hidden="false" customHeight="false" outlineLevel="0" collapsed="false">
      <c r="A136" s="1" t="s">
        <v>154</v>
      </c>
    </row>
    <row r="137" customFormat="false" ht="12.8" hidden="false" customHeight="false" outlineLevel="0" collapsed="false">
      <c r="A137" s="1" t="s">
        <v>155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36"/>
  <sheetViews>
    <sheetView showFormulas="false" showGridLines="true" showRowColHeaders="true" showZeros="true" rightToLeft="false" tabSelected="false" showOutlineSymbols="true" defaultGridColor="true" view="normal" topLeftCell="AK1" colorId="64" zoomScale="100" zoomScaleNormal="100" zoomScalePageLayoutView="100" workbookViewId="0">
      <selection pane="topLeft" activeCell="AP16" activeCellId="0" sqref="AP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9.92"/>
    <col collapsed="false" customWidth="true" hidden="false" outlineLevel="0" max="3" min="3" style="1" width="8.76"/>
    <col collapsed="false" customWidth="true" hidden="false" outlineLevel="0" max="4" min="4" style="1" width="8.3"/>
    <col collapsed="false" customWidth="true" hidden="false" outlineLevel="0" max="5" min="5" style="1" width="10.14"/>
    <col collapsed="false" customWidth="true" hidden="false" outlineLevel="0" max="6" min="6" style="1" width="11.74"/>
    <col collapsed="false" customWidth="true" hidden="false" outlineLevel="0" max="7" min="7" style="1" width="10.26"/>
    <col collapsed="false" customWidth="true" hidden="false" outlineLevel="0" max="8" min="8" style="1" width="9.46"/>
    <col collapsed="false" customWidth="true" hidden="false" outlineLevel="0" max="9" min="9" style="1" width="7.88"/>
    <col collapsed="false" customWidth="true" hidden="false" outlineLevel="0" max="10" min="10" style="1" width="13.91"/>
    <col collapsed="false" customWidth="true" hidden="false" outlineLevel="0" max="11" min="11" style="1" width="11.97"/>
    <col collapsed="false" customWidth="true" hidden="false" outlineLevel="0" max="12" min="12" style="1" width="12.42"/>
    <col collapsed="false" customWidth="true" hidden="false" outlineLevel="0" max="13" min="13" style="1" width="8.89"/>
    <col collapsed="false" customWidth="true" hidden="false" outlineLevel="0" max="14" min="14" style="1" width="15.05"/>
    <col collapsed="false" customWidth="true" hidden="false" outlineLevel="0" max="15" min="15" style="1" width="7.63"/>
    <col collapsed="false" customWidth="true" hidden="false" outlineLevel="0" max="16" min="16" style="1" width="13"/>
    <col collapsed="false" customWidth="true" hidden="false" outlineLevel="0" max="17" min="17" style="1" width="9.34"/>
    <col collapsed="false" customWidth="true" hidden="false" outlineLevel="0" max="18" min="18" style="1" width="10.14"/>
    <col collapsed="false" customWidth="false" hidden="false" outlineLevel="0" max="19" min="19" style="1" width="11.51"/>
    <col collapsed="false" customWidth="true" hidden="false" outlineLevel="0" max="20" min="20" style="1" width="10.27"/>
    <col collapsed="false" customWidth="true" hidden="false" outlineLevel="0" max="21" min="21" style="1" width="9.46"/>
    <col collapsed="false" customWidth="true" hidden="false" outlineLevel="0" max="22" min="22" style="1" width="10.14"/>
    <col collapsed="false" customWidth="true" hidden="false" outlineLevel="0" max="23" min="23" style="1" width="11.28"/>
    <col collapsed="false" customWidth="true" hidden="false" outlineLevel="0" max="24" min="24" style="1" width="11.05"/>
    <col collapsed="false" customWidth="true" hidden="false" outlineLevel="0" max="25" min="25" style="1" width="10.95"/>
    <col collapsed="false" customWidth="true" hidden="false" outlineLevel="0" max="26" min="26" style="1" width="7.29"/>
    <col collapsed="false" customWidth="true" hidden="false" outlineLevel="0" max="27" min="27" style="1" width="8.66"/>
    <col collapsed="false" customWidth="true" hidden="false" outlineLevel="0" max="28" min="28" style="1" width="10.49"/>
    <col collapsed="false" customWidth="true" hidden="false" outlineLevel="0" max="29" min="29" style="1" width="9.67"/>
    <col collapsed="false" customWidth="true" hidden="false" outlineLevel="0" max="30" min="30" style="1" width="7.42"/>
    <col collapsed="false" customWidth="true" hidden="false" outlineLevel="0" max="31" min="31" style="1" width="9.23"/>
    <col collapsed="false" customWidth="false" hidden="false" outlineLevel="0" max="32" min="32" style="1" width="11.51"/>
    <col collapsed="false" customWidth="true" hidden="false" outlineLevel="0" max="33" min="33" style="1" width="8.89"/>
    <col collapsed="false" customWidth="true" hidden="false" outlineLevel="0" max="34" min="34" style="1" width="8.96"/>
    <col collapsed="false" customWidth="true" hidden="false" outlineLevel="0" max="35" min="35" style="1" width="7.06"/>
    <col collapsed="false" customWidth="true" hidden="false" outlineLevel="0" max="36" min="36" style="1" width="8.66"/>
    <col collapsed="false" customWidth="true" hidden="false" outlineLevel="0" max="37" min="37" style="1" width="9.92"/>
    <col collapsed="false" customWidth="true" hidden="false" outlineLevel="0" max="38" min="38" style="1" width="13.22"/>
    <col collapsed="false" customWidth="true" hidden="false" outlineLevel="0" max="39" min="39" style="1" width="8.21"/>
    <col collapsed="false" customWidth="true" hidden="false" outlineLevel="0" max="40" min="40" style="1" width="8.66"/>
    <col collapsed="false" customWidth="true" hidden="false" outlineLevel="0" max="41" min="41" style="1" width="11.63"/>
    <col collapsed="false" customWidth="true" hidden="false" outlineLevel="0" max="42" min="42" style="1" width="8.43"/>
    <col collapsed="false" customWidth="true" hidden="false" outlineLevel="0" max="43" min="43" style="1" width="9.58"/>
    <col collapsed="false" customWidth="true" hidden="false" outlineLevel="0" max="44" min="44" style="1" width="10.71"/>
    <col collapsed="false" customWidth="true" hidden="false" outlineLevel="0" max="45" min="45" style="1" width="12.3"/>
    <col collapsed="false" customWidth="true" hidden="false" outlineLevel="0" max="46" min="46" style="1" width="5.92"/>
    <col collapsed="false" customWidth="true" hidden="false" outlineLevel="0" max="47" min="47" style="1" width="13.46"/>
    <col collapsed="false" customWidth="true" hidden="false" outlineLevel="0" max="48" min="48" style="1" width="8.55"/>
    <col collapsed="false" customWidth="true" hidden="false" outlineLevel="0" max="49" min="49" style="1" width="12.08"/>
    <col collapsed="false" customWidth="true" hidden="false" outlineLevel="0" max="50" min="50" style="1" width="8.89"/>
    <col collapsed="false" customWidth="true" hidden="false" outlineLevel="0" max="51" min="51" style="1" width="13.46"/>
    <col collapsed="false" customWidth="true" hidden="false" outlineLevel="0" max="52" min="52" style="1" width="8.3"/>
    <col collapsed="false" customWidth="true" hidden="false" outlineLevel="0" max="53" min="53" style="1" width="12.08"/>
    <col collapsed="false" customWidth="true" hidden="false" outlineLevel="0" max="54" min="54" style="1" width="9.23"/>
    <col collapsed="false" customWidth="true" hidden="false" outlineLevel="0" max="55" min="55" style="1" width="8.43"/>
    <col collapsed="false" customWidth="true" hidden="false" outlineLevel="0" max="56" min="56" style="1" width="11.29"/>
    <col collapsed="false" customWidth="true" hidden="false" outlineLevel="0" max="57" min="57" style="1" width="9"/>
    <col collapsed="false" customWidth="false" hidden="false" outlineLevel="0" max="16384" min="58" style="1" width="11.53"/>
  </cols>
  <sheetData>
    <row r="1" customFormat="false" ht="12.8" hidden="false" customHeight="false" outlineLevel="0" collapsed="false">
      <c r="B1" s="1" t="str">
        <f aca="false">jaguaribe_80ml!B2</f>
        <v>Alo.isabellae</v>
      </c>
      <c r="C1" s="1" t="str">
        <f aca="false">jaguaribe_80ml!C2</f>
        <v>Bia.ossiani</v>
      </c>
      <c r="D1" s="1" t="str">
        <f aca="false">jaguaribe_80ml!D2</f>
        <v>Bdelloidea</v>
      </c>
      <c r="E1" s="1" t="str">
        <f aca="false">jaguaribe_80ml!E2</f>
        <v>Bra.angularis</v>
      </c>
      <c r="F1" s="1" t="str">
        <f aca="false">jaguaribe_80ml!F2</f>
        <v>Bra.calyciflorus</v>
      </c>
      <c r="G1" s="1" t="str">
        <f aca="false">jaguaribe_80ml!G2</f>
        <v>Bra.caudatus</v>
      </c>
      <c r="H1" s="1" t="str">
        <f aca="false">jaguaribe_80ml!H2</f>
        <v>Bra.falcatus</v>
      </c>
      <c r="I1" s="1" t="str">
        <f aca="false">jaguaribe_80ml!I2</f>
        <v>Bra. Havanaensis</v>
      </c>
      <c r="J1" s="1" t="str">
        <f aca="false">jaguaribe_80ml!J2</f>
        <v>Bra.quadridentatus</v>
      </c>
      <c r="K1" s="1" t="str">
        <f aca="false">jaguaribe_80ml!K2</f>
        <v>Cephalodella.sp</v>
      </c>
      <c r="L1" s="1" t="str">
        <f aca="false">jaguaribe_80ml!L2</f>
        <v>Ceriodaphinia.sp</v>
      </c>
      <c r="M1" s="1" t="str">
        <f aca="false">jaguaribe_80ml!M2</f>
        <v>Copepodite</v>
      </c>
      <c r="N1" s="1" t="str">
        <f aca="false">jaguaribe_80ml!N2</f>
        <v>Cor.serratalhadensis</v>
      </c>
      <c r="O1" s="1" t="str">
        <f aca="false">jaguaribe_80ml!O2</f>
        <v>Dia.birgei</v>
      </c>
      <c r="P1" s="1" t="str">
        <f aca="false">jaguaribe_80ml!P2</f>
        <v>Dicranophorus.sp</v>
      </c>
      <c r="Q1" s="1" t="str">
        <f aca="false">jaguaribe_80ml!Q2</f>
        <v>Eph.barroisi</v>
      </c>
      <c r="R1" s="1" t="str">
        <f aca="false">jaguaribe_80ml!R2</f>
        <v>Eph.hybridus</v>
      </c>
      <c r="S1" s="1" t="str">
        <f aca="false">jaguaribe_80ml!S2</f>
        <v>Eph.tridentatus</v>
      </c>
      <c r="T1" s="1" t="str">
        <f aca="false">jaguaribe_80ml!T2</f>
        <v>Epi.macroura</v>
      </c>
      <c r="U1" s="1" t="str">
        <f aca="false">jaguaribe_80ml!U2</f>
        <v>Fil.longiseta</v>
      </c>
      <c r="V1" s="1" t="str">
        <f aca="false">jaguaribe_80ml!V2</f>
        <v>Fil.opoliensis</v>
      </c>
      <c r="W1" s="1" t="str">
        <f aca="false">jaguaribe_80ml!W2</f>
        <v>Hex.intermedia</v>
      </c>
      <c r="X1" s="1" t="str">
        <f aca="false">jaguaribe_80ml!X2</f>
        <v>Ker.americana</v>
      </c>
      <c r="Y1" s="1" t="str">
        <f aca="false">jaguaribe_80ml!Y2</f>
        <v>Ker.cochlearis</v>
      </c>
      <c r="Z1" s="1" t="str">
        <f aca="false">jaguaribe_80ml!Z2</f>
        <v>Ker.lenzi</v>
      </c>
      <c r="AA1" s="1" t="str">
        <f aca="false">jaguaribe_80ml!AA2</f>
        <v>Ker.tropica</v>
      </c>
      <c r="AB1" s="1" t="str">
        <f aca="false">jaguaribe_80ml!AB2</f>
        <v>Kur.polyspina</v>
      </c>
      <c r="AC1" s="1" t="str">
        <f aca="false">jaguaribe_80ml!AC2</f>
        <v>Lec.aculeata</v>
      </c>
      <c r="AD1" s="1" t="str">
        <f aca="false">jaguaribe_80ml!AD2</f>
        <v>Lec.bulla</v>
      </c>
      <c r="AE1" s="1" t="str">
        <f aca="false">jaguaribe_80ml!AE2</f>
        <v>Lec.cornuta</v>
      </c>
      <c r="AF1" s="1" t="str">
        <f aca="false">jaguaribe_80ml!AF2</f>
        <v>Lec.curvicornis</v>
      </c>
      <c r="AG1" s="1" t="str">
        <f aca="false">jaguaribe_80ml!AG2</f>
        <v>Lec.furcata</v>
      </c>
      <c r="AH1" s="1" t="str">
        <f aca="false">jaguaribe_80ml!AH2</f>
        <v>Lec.leontina</v>
      </c>
      <c r="AI1" s="1" t="str">
        <f aca="false">jaguaribe_80ml!AI2</f>
        <v>Lec.luna</v>
      </c>
      <c r="AJ1" s="1" t="str">
        <f aca="false">jaguaribe_80ml!AJ2</f>
        <v>Lec.lunaris</v>
      </c>
      <c r="AK1" s="1" t="str">
        <f aca="false">jaguaribe_80ml!AK2</f>
        <v>Lec.papuana</v>
      </c>
      <c r="AL1" s="1" t="str">
        <f aca="false">jaguaribe_80ml!AL2</f>
        <v>Lec.quadridentata</v>
      </c>
      <c r="AM1" s="1" t="str">
        <f aca="false">jaguaribe_80ml!AM2</f>
        <v>Lep.ovalis</v>
      </c>
      <c r="AN1" s="1" t="str">
        <f aca="false">jaguaribe_80ml!AN2</f>
        <v>Lep.patella</v>
      </c>
      <c r="AO1" s="1" t="str">
        <f aca="false">jaguaribe_80ml!AO2</f>
        <v>Ley.curvirostris</v>
      </c>
      <c r="AP1" s="1" t="str">
        <f aca="false">jaguaribe_80ml!AP2</f>
        <v>Ley.striata</v>
      </c>
      <c r="AQ1" s="1" t="str">
        <f aca="false">jaguaribe_80ml!AQ2</f>
        <v>Mac.sericus</v>
      </c>
      <c r="AR1" s="1" t="str">
        <f aca="false">jaguaribe_80ml!AR2</f>
        <v>Mac.laticornis</v>
      </c>
      <c r="AS1" s="1" t="str">
        <f aca="false">jaguaribe_80ml!AS2</f>
        <v>The.decipiens</v>
      </c>
      <c r="AT1" s="1" t="str">
        <f aca="false">jaguaribe_80ml!AT2</f>
        <v>Nauplii</v>
      </c>
      <c r="AU1" s="1" t="str">
        <f aca="false">jaguaribe_80ml!AU2</f>
        <v>Notodiaptomus.sp</v>
      </c>
      <c r="AV1" s="1" t="str">
        <f aca="false">jaguaribe_80ml!AV2</f>
        <v>Oxy.ciliata</v>
      </c>
      <c r="AW1" s="1" t="str">
        <f aca="false">jaguaribe_80ml!AW2</f>
        <v>Oxy.longicaudis</v>
      </c>
      <c r="AX1" s="1" t="str">
        <f aca="false">jaguaribe_80ml!AX2</f>
        <v>Pla.patulus</v>
      </c>
      <c r="AY1" s="1" t="str">
        <f aca="false">jaguaribe_80ml!AY2</f>
        <v>Pla.macracanthus</v>
      </c>
      <c r="AZ1" s="1" t="str">
        <f aca="false">jaguaribe_80ml!AZ2</f>
        <v>Pla.leloupi</v>
      </c>
      <c r="BA1" s="1" t="str">
        <f aca="false">jaguaribe_80ml!BA2</f>
        <v>Pla.quadricornis</v>
      </c>
      <c r="BB1" s="1" t="str">
        <f aca="false">jaguaribe_80ml!BB2</f>
        <v>Pol.vulgaris</v>
      </c>
      <c r="BC1" s="1" t="str">
        <f aca="false">jaguaribe_80ml!BC2</f>
        <v>Tes.patina</v>
      </c>
      <c r="BD1" s="1" t="str">
        <f aca="false">jaguaribe_80ml!BD2</f>
        <v>Trichocerca.sp</v>
      </c>
      <c r="BE1" s="1" t="str">
        <f aca="false">jaguaribe_80ml!BE2</f>
        <v>Tri.tetractis</v>
      </c>
    </row>
    <row r="2" customFormat="false" ht="12.8" hidden="false" customHeight="false" outlineLevel="0" collapsed="false">
      <c r="A2" s="1" t="s">
        <v>8</v>
      </c>
      <c r="B2" s="1" t="n">
        <f aca="false">jaguaribe_80ml!B3/50</f>
        <v>0</v>
      </c>
      <c r="C2" s="1" t="n">
        <f aca="false">jaguaribe_80ml!C3/50</f>
        <v>0</v>
      </c>
      <c r="D2" s="1" t="n">
        <f aca="false">jaguaribe_80ml!D3/50</f>
        <v>0.78</v>
      </c>
      <c r="E2" s="1" t="n">
        <f aca="false">jaguaribe_80ml!E3/50</f>
        <v>0</v>
      </c>
      <c r="F2" s="1" t="n">
        <f aca="false">jaguaribe_80ml!F3/50</f>
        <v>0</v>
      </c>
      <c r="G2" s="1" t="n">
        <f aca="false">jaguaribe_80ml!G3/50</f>
        <v>0</v>
      </c>
      <c r="H2" s="1" t="n">
        <f aca="false">jaguaribe_80ml!H3/50</f>
        <v>0</v>
      </c>
      <c r="I2" s="1" t="n">
        <f aca="false">jaguaribe_80ml!I3/50</f>
        <v>0</v>
      </c>
      <c r="J2" s="1" t="n">
        <f aca="false">jaguaribe_80ml!J3/50</f>
        <v>0</v>
      </c>
      <c r="K2" s="1" t="n">
        <f aca="false">jaguaribe_80ml!K3/50</f>
        <v>0.44</v>
      </c>
      <c r="L2" s="1" t="n">
        <f aca="false">jaguaribe_80ml!L3/50</f>
        <v>0</v>
      </c>
      <c r="M2" s="1" t="n">
        <f aca="false">jaguaribe_80ml!M3/50</f>
        <v>3.8</v>
      </c>
      <c r="N2" s="1" t="n">
        <f aca="false">jaguaribe_80ml!N3/50</f>
        <v>0</v>
      </c>
      <c r="O2" s="1" t="n">
        <f aca="false">jaguaribe_80ml!O3/50</f>
        <v>0</v>
      </c>
      <c r="P2" s="1" t="n">
        <f aca="false">jaguaribe_80ml!P3/50</f>
        <v>0</v>
      </c>
      <c r="Q2" s="1" t="n">
        <f aca="false">jaguaribe_80ml!Q3/50</f>
        <v>0</v>
      </c>
      <c r="R2" s="1" t="n">
        <f aca="false">jaguaribe_80ml!R3/50</f>
        <v>0</v>
      </c>
      <c r="S2" s="1" t="n">
        <f aca="false">jaguaribe_80ml!S3/50</f>
        <v>0</v>
      </c>
      <c r="T2" s="1" t="n">
        <f aca="false">jaguaribe_80ml!T3/50</f>
        <v>2.46</v>
      </c>
      <c r="U2" s="1" t="n">
        <f aca="false">jaguaribe_80ml!U3/50</f>
        <v>0.02</v>
      </c>
      <c r="V2" s="1" t="n">
        <f aca="false">jaguaribe_80ml!V3/50</f>
        <v>0.1</v>
      </c>
      <c r="W2" s="1" t="n">
        <f aca="false">jaguaribe_80ml!W3/50</f>
        <v>0.02</v>
      </c>
      <c r="X2" s="1" t="n">
        <f aca="false">jaguaribe_80ml!X3/50</f>
        <v>1.12</v>
      </c>
      <c r="Y2" s="1" t="n">
        <f aca="false">jaguaribe_80ml!Y3/50</f>
        <v>0.04</v>
      </c>
      <c r="Z2" s="1" t="n">
        <f aca="false">jaguaribe_80ml!Z3/50</f>
        <v>0</v>
      </c>
      <c r="AA2" s="1" t="n">
        <f aca="false">jaguaribe_80ml!AA3/50</f>
        <v>2.84</v>
      </c>
      <c r="AB2" s="1" t="n">
        <f aca="false">jaguaribe_80ml!AB3/50</f>
        <v>0</v>
      </c>
      <c r="AC2" s="1" t="n">
        <f aca="false">jaguaribe_80ml!AC3/50</f>
        <v>0</v>
      </c>
      <c r="AD2" s="1" t="n">
        <f aca="false">jaguaribe_80ml!AD3/50</f>
        <v>0.04</v>
      </c>
      <c r="AE2" s="1" t="n">
        <f aca="false">jaguaribe_80ml!AE3/50</f>
        <v>0</v>
      </c>
      <c r="AF2" s="1" t="n">
        <f aca="false">jaguaribe_80ml!AF3/50</f>
        <v>0</v>
      </c>
      <c r="AG2" s="1" t="n">
        <f aca="false">jaguaribe_80ml!AG3/50</f>
        <v>0</v>
      </c>
      <c r="AH2" s="1" t="n">
        <f aca="false">jaguaribe_80ml!AH3/50</f>
        <v>0</v>
      </c>
      <c r="AI2" s="1" t="n">
        <f aca="false">jaguaribe_80ml!AI3/50</f>
        <v>0</v>
      </c>
      <c r="AJ2" s="1" t="n">
        <f aca="false">jaguaribe_80ml!AJ3/50</f>
        <v>0</v>
      </c>
      <c r="AK2" s="1" t="n">
        <f aca="false">jaguaribe_80ml!AK3/50</f>
        <v>0</v>
      </c>
      <c r="AL2" s="1" t="n">
        <f aca="false">jaguaribe_80ml!AL3/50</f>
        <v>0</v>
      </c>
      <c r="AM2" s="1" t="n">
        <f aca="false">jaguaribe_80ml!AM3/50</f>
        <v>0</v>
      </c>
      <c r="AN2" s="1" t="n">
        <f aca="false">jaguaribe_80ml!AN3/50</f>
        <v>0</v>
      </c>
      <c r="AO2" s="1" t="n">
        <f aca="false">jaguaribe_80ml!AO3/50</f>
        <v>0</v>
      </c>
      <c r="AP2" s="1" t="n">
        <f aca="false">jaguaribe_80ml!AP3/50</f>
        <v>0</v>
      </c>
      <c r="AQ2" s="1" t="n">
        <f aca="false">jaguaribe_80ml!AQ3/50</f>
        <v>0</v>
      </c>
      <c r="AR2" s="1" t="n">
        <f aca="false">jaguaribe_80ml!AR3/50</f>
        <v>0</v>
      </c>
      <c r="AS2" s="1" t="n">
        <f aca="false">jaguaribe_80ml!AS3/50</f>
        <v>0</v>
      </c>
      <c r="AT2" s="1" t="n">
        <f aca="false">jaguaribe_80ml!AT3/50</f>
        <v>30.24</v>
      </c>
      <c r="AU2" s="1" t="n">
        <f aca="false">jaguaribe_80ml!AU3/50</f>
        <v>0</v>
      </c>
      <c r="AV2" s="1" t="n">
        <f aca="false">jaguaribe_80ml!AV3/50</f>
        <v>0</v>
      </c>
      <c r="AW2" s="1" t="n">
        <f aca="false">jaguaribe_80ml!AW3/50</f>
        <v>0</v>
      </c>
      <c r="AX2" s="1" t="n">
        <f aca="false">jaguaribe_80ml!AX3/50</f>
        <v>0</v>
      </c>
      <c r="AY2" s="1" t="n">
        <f aca="false">jaguaribe_80ml!AY3/50</f>
        <v>0</v>
      </c>
      <c r="AZ2" s="1" t="n">
        <f aca="false">jaguaribe_80ml!AZ3/50</f>
        <v>0</v>
      </c>
      <c r="BA2" s="1" t="n">
        <f aca="false">jaguaribe_80ml!BA3/50</f>
        <v>0</v>
      </c>
      <c r="BB2" s="1" t="n">
        <f aca="false">jaguaribe_80ml!BB3/50</f>
        <v>0</v>
      </c>
      <c r="BC2" s="1" t="n">
        <f aca="false">jaguaribe_80ml!BC3/50</f>
        <v>0</v>
      </c>
      <c r="BD2" s="1" t="n">
        <f aca="false">jaguaribe_80ml!BD3/50</f>
        <v>0</v>
      </c>
      <c r="BE2" s="1" t="n">
        <f aca="false">jaguaribe_80ml!BE3/50</f>
        <v>0</v>
      </c>
    </row>
    <row r="3" customFormat="false" ht="12.8" hidden="false" customHeight="false" outlineLevel="0" collapsed="false">
      <c r="A3" s="1" t="s">
        <v>12</v>
      </c>
      <c r="B3" s="16" t="s">
        <v>265</v>
      </c>
      <c r="C3" s="16" t="s">
        <v>265</v>
      </c>
      <c r="D3" s="16" t="s">
        <v>265</v>
      </c>
      <c r="E3" s="16" t="s">
        <v>265</v>
      </c>
      <c r="F3" s="16" t="s">
        <v>265</v>
      </c>
      <c r="G3" s="16" t="s">
        <v>265</v>
      </c>
      <c r="H3" s="16" t="s">
        <v>265</v>
      </c>
      <c r="I3" s="16" t="s">
        <v>265</v>
      </c>
      <c r="J3" s="16" t="s">
        <v>265</v>
      </c>
      <c r="K3" s="16" t="s">
        <v>265</v>
      </c>
      <c r="L3" s="16" t="s">
        <v>265</v>
      </c>
      <c r="M3" s="16" t="s">
        <v>265</v>
      </c>
      <c r="N3" s="16" t="s">
        <v>265</v>
      </c>
      <c r="O3" s="16" t="s">
        <v>265</v>
      </c>
      <c r="P3" s="16" t="s">
        <v>265</v>
      </c>
      <c r="Q3" s="16" t="s">
        <v>265</v>
      </c>
      <c r="R3" s="16" t="s">
        <v>265</v>
      </c>
      <c r="S3" s="16" t="s">
        <v>265</v>
      </c>
      <c r="T3" s="16" t="s">
        <v>265</v>
      </c>
      <c r="U3" s="16" t="s">
        <v>265</v>
      </c>
      <c r="V3" s="16" t="s">
        <v>265</v>
      </c>
      <c r="W3" s="16" t="s">
        <v>265</v>
      </c>
      <c r="X3" s="16" t="s">
        <v>265</v>
      </c>
      <c r="Y3" s="16" t="s">
        <v>265</v>
      </c>
      <c r="Z3" s="16" t="s">
        <v>265</v>
      </c>
      <c r="AA3" s="16" t="s">
        <v>265</v>
      </c>
      <c r="AB3" s="16" t="s">
        <v>265</v>
      </c>
      <c r="AC3" s="16" t="s">
        <v>265</v>
      </c>
      <c r="AD3" s="16" t="s">
        <v>265</v>
      </c>
      <c r="AE3" s="16" t="s">
        <v>265</v>
      </c>
      <c r="AF3" s="16" t="s">
        <v>265</v>
      </c>
      <c r="AG3" s="16" t="s">
        <v>265</v>
      </c>
      <c r="AH3" s="16" t="s">
        <v>265</v>
      </c>
      <c r="AI3" s="16" t="s">
        <v>265</v>
      </c>
      <c r="AJ3" s="16" t="s">
        <v>265</v>
      </c>
      <c r="AK3" s="16" t="s">
        <v>265</v>
      </c>
      <c r="AL3" s="16" t="s">
        <v>265</v>
      </c>
      <c r="AM3" s="16" t="s">
        <v>265</v>
      </c>
      <c r="AN3" s="16" t="s">
        <v>265</v>
      </c>
      <c r="AO3" s="16" t="s">
        <v>265</v>
      </c>
      <c r="AP3" s="16" t="s">
        <v>265</v>
      </c>
      <c r="AQ3" s="16" t="s">
        <v>265</v>
      </c>
      <c r="AR3" s="16" t="s">
        <v>265</v>
      </c>
      <c r="AS3" s="16" t="s">
        <v>265</v>
      </c>
      <c r="AT3" s="16" t="s">
        <v>265</v>
      </c>
      <c r="AU3" s="16" t="s">
        <v>265</v>
      </c>
      <c r="AV3" s="16" t="s">
        <v>265</v>
      </c>
      <c r="AW3" s="16" t="s">
        <v>265</v>
      </c>
      <c r="AX3" s="16" t="s">
        <v>265</v>
      </c>
      <c r="AY3" s="16" t="s">
        <v>265</v>
      </c>
      <c r="AZ3" s="16" t="s">
        <v>265</v>
      </c>
      <c r="BA3" s="16" t="s">
        <v>265</v>
      </c>
      <c r="BB3" s="16" t="s">
        <v>265</v>
      </c>
      <c r="BC3" s="16" t="s">
        <v>265</v>
      </c>
      <c r="BD3" s="16" t="s">
        <v>265</v>
      </c>
      <c r="BE3" s="16" t="s">
        <v>265</v>
      </c>
    </row>
    <row r="4" customFormat="false" ht="12.8" hidden="false" customHeight="false" outlineLevel="0" collapsed="false">
      <c r="A4" s="1" t="s">
        <v>13</v>
      </c>
      <c r="B4" s="16" t="s">
        <v>265</v>
      </c>
      <c r="C4" s="16" t="s">
        <v>265</v>
      </c>
      <c r="D4" s="16" t="s">
        <v>265</v>
      </c>
      <c r="E4" s="16" t="s">
        <v>265</v>
      </c>
      <c r="F4" s="16" t="s">
        <v>265</v>
      </c>
      <c r="G4" s="16" t="s">
        <v>265</v>
      </c>
      <c r="H4" s="16" t="s">
        <v>265</v>
      </c>
      <c r="I4" s="16" t="s">
        <v>265</v>
      </c>
      <c r="J4" s="16" t="s">
        <v>265</v>
      </c>
      <c r="K4" s="16" t="s">
        <v>265</v>
      </c>
      <c r="L4" s="16" t="s">
        <v>265</v>
      </c>
      <c r="M4" s="16" t="s">
        <v>265</v>
      </c>
      <c r="N4" s="16" t="s">
        <v>265</v>
      </c>
      <c r="O4" s="16" t="s">
        <v>265</v>
      </c>
      <c r="P4" s="16" t="s">
        <v>265</v>
      </c>
      <c r="Q4" s="16" t="s">
        <v>265</v>
      </c>
      <c r="R4" s="16" t="s">
        <v>265</v>
      </c>
      <c r="S4" s="16" t="s">
        <v>265</v>
      </c>
      <c r="T4" s="16" t="s">
        <v>265</v>
      </c>
      <c r="U4" s="16" t="s">
        <v>265</v>
      </c>
      <c r="V4" s="16" t="s">
        <v>265</v>
      </c>
      <c r="W4" s="16" t="s">
        <v>265</v>
      </c>
      <c r="X4" s="16" t="s">
        <v>265</v>
      </c>
      <c r="Y4" s="16" t="s">
        <v>265</v>
      </c>
      <c r="Z4" s="16" t="s">
        <v>265</v>
      </c>
      <c r="AA4" s="16" t="s">
        <v>265</v>
      </c>
      <c r="AB4" s="16" t="s">
        <v>265</v>
      </c>
      <c r="AC4" s="16" t="s">
        <v>265</v>
      </c>
      <c r="AD4" s="16" t="s">
        <v>265</v>
      </c>
      <c r="AE4" s="16" t="s">
        <v>265</v>
      </c>
      <c r="AF4" s="16" t="s">
        <v>265</v>
      </c>
      <c r="AG4" s="16" t="s">
        <v>265</v>
      </c>
      <c r="AH4" s="16" t="s">
        <v>265</v>
      </c>
      <c r="AI4" s="16" t="s">
        <v>265</v>
      </c>
      <c r="AJ4" s="16" t="s">
        <v>265</v>
      </c>
      <c r="AK4" s="16" t="s">
        <v>265</v>
      </c>
      <c r="AL4" s="16" t="s">
        <v>265</v>
      </c>
      <c r="AM4" s="16" t="s">
        <v>265</v>
      </c>
      <c r="AN4" s="16" t="s">
        <v>265</v>
      </c>
      <c r="AO4" s="16" t="s">
        <v>265</v>
      </c>
      <c r="AP4" s="16" t="s">
        <v>265</v>
      </c>
      <c r="AQ4" s="16" t="s">
        <v>265</v>
      </c>
      <c r="AR4" s="16" t="s">
        <v>265</v>
      </c>
      <c r="AS4" s="16" t="s">
        <v>265</v>
      </c>
      <c r="AT4" s="16" t="s">
        <v>265</v>
      </c>
      <c r="AU4" s="16" t="s">
        <v>265</v>
      </c>
      <c r="AV4" s="16" t="s">
        <v>265</v>
      </c>
      <c r="AW4" s="16" t="s">
        <v>265</v>
      </c>
      <c r="AX4" s="16" t="s">
        <v>265</v>
      </c>
      <c r="AY4" s="16" t="s">
        <v>265</v>
      </c>
      <c r="AZ4" s="16" t="s">
        <v>265</v>
      </c>
      <c r="BA4" s="16" t="s">
        <v>265</v>
      </c>
      <c r="BB4" s="16" t="s">
        <v>265</v>
      </c>
      <c r="BC4" s="16" t="s">
        <v>265</v>
      </c>
      <c r="BD4" s="16" t="s">
        <v>265</v>
      </c>
      <c r="BE4" s="16" t="s">
        <v>265</v>
      </c>
    </row>
    <row r="5" customFormat="false" ht="12.8" hidden="false" customHeight="false" outlineLevel="0" collapsed="false">
      <c r="A5" s="1" t="s">
        <v>15</v>
      </c>
      <c r="B5" s="1" t="n">
        <f aca="false">jaguaribe_80ml!B6/50</f>
        <v>0</v>
      </c>
      <c r="C5" s="1" t="n">
        <f aca="false">jaguaribe_80ml!C6/50</f>
        <v>0</v>
      </c>
      <c r="D5" s="1" t="n">
        <f aca="false">jaguaribe_80ml!D6/50</f>
        <v>0.82</v>
      </c>
      <c r="E5" s="1" t="n">
        <f aca="false">jaguaribe_80ml!E6/50</f>
        <v>0</v>
      </c>
      <c r="F5" s="1" t="n">
        <f aca="false">jaguaribe_80ml!F6/50</f>
        <v>0</v>
      </c>
      <c r="G5" s="1" t="n">
        <f aca="false">jaguaribe_80ml!G6/50</f>
        <v>0</v>
      </c>
      <c r="H5" s="1" t="n">
        <f aca="false">jaguaribe_80ml!H6/50</f>
        <v>0</v>
      </c>
      <c r="I5" s="1" t="n">
        <f aca="false">jaguaribe_80ml!I6/50</f>
        <v>0</v>
      </c>
      <c r="J5" s="1" t="n">
        <f aca="false">jaguaribe_80ml!J6/50</f>
        <v>0</v>
      </c>
      <c r="K5" s="1" t="n">
        <f aca="false">jaguaribe_80ml!K6/50</f>
        <v>0.08</v>
      </c>
      <c r="L5" s="1" t="n">
        <f aca="false">jaguaribe_80ml!L6/50</f>
        <v>0.14</v>
      </c>
      <c r="M5" s="1" t="n">
        <f aca="false">jaguaribe_80ml!M6/50</f>
        <v>7.54</v>
      </c>
      <c r="N5" s="1" t="n">
        <f aca="false">jaguaribe_80ml!N6/50</f>
        <v>0</v>
      </c>
      <c r="O5" s="1" t="n">
        <f aca="false">jaguaribe_80ml!O6/50</f>
        <v>0.8</v>
      </c>
      <c r="P5" s="1" t="n">
        <f aca="false">jaguaribe_80ml!P6/50</f>
        <v>0</v>
      </c>
      <c r="Q5" s="1" t="n">
        <f aca="false">jaguaribe_80ml!Q6/50</f>
        <v>0</v>
      </c>
      <c r="R5" s="1" t="n">
        <f aca="false">jaguaribe_80ml!R6/50</f>
        <v>0</v>
      </c>
      <c r="S5" s="1" t="n">
        <f aca="false">jaguaribe_80ml!S6/50</f>
        <v>0</v>
      </c>
      <c r="T5" s="1" t="n">
        <f aca="false">jaguaribe_80ml!T6/50</f>
        <v>0.24</v>
      </c>
      <c r="U5" s="1" t="n">
        <f aca="false">jaguaribe_80ml!U6/50</f>
        <v>0</v>
      </c>
      <c r="V5" s="1" t="n">
        <f aca="false">jaguaribe_80ml!V6/50</f>
        <v>0</v>
      </c>
      <c r="W5" s="1" t="n">
        <f aca="false">jaguaribe_80ml!W6/50</f>
        <v>0.06</v>
      </c>
      <c r="X5" s="1" t="n">
        <f aca="false">jaguaribe_80ml!X6/50</f>
        <v>0.04</v>
      </c>
      <c r="Y5" s="1" t="n">
        <f aca="false">jaguaribe_80ml!Y6/50</f>
        <v>0.02</v>
      </c>
      <c r="Z5" s="1" t="n">
        <f aca="false">jaguaribe_80ml!Z6/50</f>
        <v>0</v>
      </c>
      <c r="AA5" s="1" t="n">
        <f aca="false">jaguaribe_80ml!AA6/50</f>
        <v>0.46</v>
      </c>
      <c r="AB5" s="1" t="n">
        <f aca="false">jaguaribe_80ml!AB6/50</f>
        <v>0.02</v>
      </c>
      <c r="AC5" s="1" t="n">
        <f aca="false">jaguaribe_80ml!AC6/50</f>
        <v>0</v>
      </c>
      <c r="AD5" s="1" t="n">
        <f aca="false">jaguaribe_80ml!AD6/50</f>
        <v>0.08</v>
      </c>
      <c r="AE5" s="1" t="n">
        <f aca="false">jaguaribe_80ml!AE6/50</f>
        <v>0</v>
      </c>
      <c r="AF5" s="1" t="n">
        <f aca="false">jaguaribe_80ml!AF6/50</f>
        <v>0</v>
      </c>
      <c r="AG5" s="1" t="n">
        <f aca="false">jaguaribe_80ml!AG6/50</f>
        <v>0</v>
      </c>
      <c r="AH5" s="1" t="n">
        <f aca="false">jaguaribe_80ml!AH6/50</f>
        <v>0</v>
      </c>
      <c r="AI5" s="1" t="n">
        <f aca="false">jaguaribe_80ml!AI6/50</f>
        <v>0</v>
      </c>
      <c r="AJ5" s="1" t="n">
        <f aca="false">jaguaribe_80ml!AJ6/50</f>
        <v>0</v>
      </c>
      <c r="AK5" s="1" t="n">
        <f aca="false">jaguaribe_80ml!AK6/50</f>
        <v>0</v>
      </c>
      <c r="AL5" s="1" t="n">
        <f aca="false">jaguaribe_80ml!AL6/50</f>
        <v>0</v>
      </c>
      <c r="AM5" s="1" t="n">
        <f aca="false">jaguaribe_80ml!AM6/50</f>
        <v>0</v>
      </c>
      <c r="AN5" s="1" t="n">
        <f aca="false">jaguaribe_80ml!AN6/50</f>
        <v>0</v>
      </c>
      <c r="AO5" s="1" t="n">
        <f aca="false">jaguaribe_80ml!AO6/50</f>
        <v>0</v>
      </c>
      <c r="AP5" s="1" t="n">
        <f aca="false">jaguaribe_80ml!AP6/50</f>
        <v>0</v>
      </c>
      <c r="AQ5" s="1" t="n">
        <f aca="false">jaguaribe_80ml!AQ6/50</f>
        <v>0</v>
      </c>
      <c r="AR5" s="1" t="n">
        <f aca="false">jaguaribe_80ml!AR6/50</f>
        <v>0.06</v>
      </c>
      <c r="AS5" s="1" t="n">
        <f aca="false">jaguaribe_80ml!AS6/50</f>
        <v>0</v>
      </c>
      <c r="AT5" s="1" t="n">
        <f aca="false">jaguaribe_80ml!AT6/50</f>
        <v>111.74</v>
      </c>
      <c r="AU5" s="1" t="n">
        <f aca="false">jaguaribe_80ml!AU6/50</f>
        <v>0</v>
      </c>
      <c r="AV5" s="1" t="n">
        <f aca="false">jaguaribe_80ml!AV6/50</f>
        <v>0</v>
      </c>
      <c r="AW5" s="1" t="n">
        <f aca="false">jaguaribe_80ml!AW6/50</f>
        <v>0</v>
      </c>
      <c r="AX5" s="1" t="n">
        <f aca="false">jaguaribe_80ml!AX6/50</f>
        <v>0</v>
      </c>
      <c r="AY5" s="1" t="n">
        <f aca="false">jaguaribe_80ml!AY6/50</f>
        <v>0</v>
      </c>
      <c r="AZ5" s="1" t="n">
        <f aca="false">jaguaribe_80ml!AZ6/50</f>
        <v>0</v>
      </c>
      <c r="BA5" s="1" t="n">
        <f aca="false">jaguaribe_80ml!BA6/50</f>
        <v>0</v>
      </c>
      <c r="BB5" s="1" t="n">
        <f aca="false">jaguaribe_80ml!BB6/50</f>
        <v>2.42</v>
      </c>
      <c r="BC5" s="1" t="n">
        <f aca="false">jaguaribe_80ml!BC6/50</f>
        <v>0</v>
      </c>
      <c r="BD5" s="1" t="n">
        <f aca="false">jaguaribe_80ml!BD6/50</f>
        <v>0</v>
      </c>
      <c r="BE5" s="1" t="n">
        <f aca="false">jaguaribe_80ml!BE6/50</f>
        <v>0</v>
      </c>
    </row>
    <row r="6" customFormat="false" ht="12.8" hidden="false" customHeight="false" outlineLevel="0" collapsed="false">
      <c r="A6" s="1" t="s">
        <v>16</v>
      </c>
      <c r="B6" s="16" t="s">
        <v>265</v>
      </c>
      <c r="C6" s="16" t="s">
        <v>265</v>
      </c>
      <c r="D6" s="16" t="s">
        <v>265</v>
      </c>
      <c r="E6" s="16" t="s">
        <v>265</v>
      </c>
      <c r="F6" s="16" t="s">
        <v>265</v>
      </c>
      <c r="G6" s="16" t="s">
        <v>265</v>
      </c>
      <c r="H6" s="16" t="s">
        <v>265</v>
      </c>
      <c r="I6" s="16" t="s">
        <v>265</v>
      </c>
      <c r="J6" s="16" t="s">
        <v>265</v>
      </c>
      <c r="K6" s="16" t="s">
        <v>265</v>
      </c>
      <c r="L6" s="16" t="s">
        <v>265</v>
      </c>
      <c r="M6" s="16" t="s">
        <v>265</v>
      </c>
      <c r="N6" s="16" t="s">
        <v>265</v>
      </c>
      <c r="O6" s="16" t="s">
        <v>265</v>
      </c>
      <c r="P6" s="16" t="s">
        <v>265</v>
      </c>
      <c r="Q6" s="16" t="s">
        <v>265</v>
      </c>
      <c r="R6" s="16" t="s">
        <v>265</v>
      </c>
      <c r="S6" s="16" t="s">
        <v>265</v>
      </c>
      <c r="T6" s="16" t="s">
        <v>265</v>
      </c>
      <c r="U6" s="16" t="s">
        <v>265</v>
      </c>
      <c r="V6" s="16" t="s">
        <v>265</v>
      </c>
      <c r="W6" s="16" t="s">
        <v>265</v>
      </c>
      <c r="X6" s="16" t="s">
        <v>265</v>
      </c>
      <c r="Y6" s="16" t="s">
        <v>265</v>
      </c>
      <c r="Z6" s="16" t="s">
        <v>265</v>
      </c>
      <c r="AA6" s="16" t="s">
        <v>265</v>
      </c>
      <c r="AB6" s="16" t="s">
        <v>265</v>
      </c>
      <c r="AC6" s="16" t="s">
        <v>265</v>
      </c>
      <c r="AD6" s="16" t="s">
        <v>265</v>
      </c>
      <c r="AE6" s="16" t="s">
        <v>265</v>
      </c>
      <c r="AF6" s="16" t="s">
        <v>265</v>
      </c>
      <c r="AG6" s="16" t="s">
        <v>265</v>
      </c>
      <c r="AH6" s="16" t="s">
        <v>265</v>
      </c>
      <c r="AI6" s="16" t="s">
        <v>265</v>
      </c>
      <c r="AJ6" s="16" t="s">
        <v>265</v>
      </c>
      <c r="AK6" s="16" t="s">
        <v>265</v>
      </c>
      <c r="AL6" s="16" t="s">
        <v>265</v>
      </c>
      <c r="AM6" s="16" t="s">
        <v>265</v>
      </c>
      <c r="AN6" s="16" t="s">
        <v>265</v>
      </c>
      <c r="AO6" s="16" t="s">
        <v>265</v>
      </c>
      <c r="AP6" s="16" t="s">
        <v>265</v>
      </c>
      <c r="AQ6" s="16" t="s">
        <v>265</v>
      </c>
      <c r="AR6" s="16" t="s">
        <v>265</v>
      </c>
      <c r="AS6" s="16" t="s">
        <v>265</v>
      </c>
      <c r="AT6" s="16" t="s">
        <v>265</v>
      </c>
      <c r="AU6" s="16" t="s">
        <v>265</v>
      </c>
      <c r="AV6" s="16" t="s">
        <v>265</v>
      </c>
      <c r="AW6" s="16" t="s">
        <v>265</v>
      </c>
      <c r="AX6" s="16" t="s">
        <v>265</v>
      </c>
      <c r="AY6" s="16" t="s">
        <v>265</v>
      </c>
      <c r="AZ6" s="16" t="s">
        <v>265</v>
      </c>
      <c r="BA6" s="16" t="s">
        <v>265</v>
      </c>
      <c r="BB6" s="16" t="s">
        <v>265</v>
      </c>
      <c r="BC6" s="16" t="s">
        <v>265</v>
      </c>
      <c r="BD6" s="16" t="s">
        <v>265</v>
      </c>
      <c r="BE6" s="16" t="s">
        <v>265</v>
      </c>
    </row>
    <row r="7" customFormat="false" ht="12.8" hidden="false" customHeight="false" outlineLevel="0" collapsed="false">
      <c r="A7" s="1" t="s">
        <v>17</v>
      </c>
      <c r="B7" s="16" t="s">
        <v>265</v>
      </c>
      <c r="C7" s="16" t="s">
        <v>265</v>
      </c>
      <c r="D7" s="16" t="s">
        <v>265</v>
      </c>
      <c r="E7" s="16" t="s">
        <v>265</v>
      </c>
      <c r="F7" s="16" t="s">
        <v>265</v>
      </c>
      <c r="G7" s="16" t="s">
        <v>265</v>
      </c>
      <c r="H7" s="16" t="s">
        <v>265</v>
      </c>
      <c r="I7" s="16" t="s">
        <v>265</v>
      </c>
      <c r="J7" s="16" t="s">
        <v>265</v>
      </c>
      <c r="K7" s="16" t="s">
        <v>265</v>
      </c>
      <c r="L7" s="16" t="s">
        <v>265</v>
      </c>
      <c r="M7" s="16" t="s">
        <v>265</v>
      </c>
      <c r="N7" s="16" t="s">
        <v>265</v>
      </c>
      <c r="O7" s="16" t="s">
        <v>265</v>
      </c>
      <c r="P7" s="16" t="s">
        <v>265</v>
      </c>
      <c r="Q7" s="16" t="s">
        <v>265</v>
      </c>
      <c r="R7" s="16" t="s">
        <v>265</v>
      </c>
      <c r="S7" s="16" t="s">
        <v>265</v>
      </c>
      <c r="T7" s="16" t="s">
        <v>265</v>
      </c>
      <c r="U7" s="16" t="s">
        <v>265</v>
      </c>
      <c r="V7" s="16" t="s">
        <v>265</v>
      </c>
      <c r="W7" s="16" t="s">
        <v>265</v>
      </c>
      <c r="X7" s="16" t="s">
        <v>265</v>
      </c>
      <c r="Y7" s="16" t="s">
        <v>265</v>
      </c>
      <c r="Z7" s="16" t="s">
        <v>265</v>
      </c>
      <c r="AA7" s="16" t="s">
        <v>265</v>
      </c>
      <c r="AB7" s="16" t="s">
        <v>265</v>
      </c>
      <c r="AC7" s="16" t="s">
        <v>265</v>
      </c>
      <c r="AD7" s="16" t="s">
        <v>265</v>
      </c>
      <c r="AE7" s="16" t="s">
        <v>265</v>
      </c>
      <c r="AF7" s="16" t="s">
        <v>265</v>
      </c>
      <c r="AG7" s="16" t="s">
        <v>265</v>
      </c>
      <c r="AH7" s="16" t="s">
        <v>265</v>
      </c>
      <c r="AI7" s="16" t="s">
        <v>265</v>
      </c>
      <c r="AJ7" s="16" t="s">
        <v>265</v>
      </c>
      <c r="AK7" s="16" t="s">
        <v>265</v>
      </c>
      <c r="AL7" s="16" t="s">
        <v>265</v>
      </c>
      <c r="AM7" s="16" t="s">
        <v>265</v>
      </c>
      <c r="AN7" s="16" t="s">
        <v>265</v>
      </c>
      <c r="AO7" s="16" t="s">
        <v>265</v>
      </c>
      <c r="AP7" s="16" t="s">
        <v>265</v>
      </c>
      <c r="AQ7" s="16" t="s">
        <v>265</v>
      </c>
      <c r="AR7" s="16" t="s">
        <v>265</v>
      </c>
      <c r="AS7" s="16" t="s">
        <v>265</v>
      </c>
      <c r="AT7" s="16" t="s">
        <v>265</v>
      </c>
      <c r="AU7" s="16" t="s">
        <v>265</v>
      </c>
      <c r="AV7" s="16" t="s">
        <v>265</v>
      </c>
      <c r="AW7" s="16" t="s">
        <v>265</v>
      </c>
      <c r="AX7" s="16" t="s">
        <v>265</v>
      </c>
      <c r="AY7" s="16" t="s">
        <v>265</v>
      </c>
      <c r="AZ7" s="16" t="s">
        <v>265</v>
      </c>
      <c r="BA7" s="16" t="s">
        <v>265</v>
      </c>
      <c r="BB7" s="16" t="s">
        <v>265</v>
      </c>
      <c r="BC7" s="16" t="s">
        <v>265</v>
      </c>
      <c r="BD7" s="16" t="s">
        <v>265</v>
      </c>
      <c r="BE7" s="16" t="s">
        <v>265</v>
      </c>
    </row>
    <row r="8" customFormat="false" ht="12.8" hidden="false" customHeight="false" outlineLevel="0" collapsed="false">
      <c r="A8" s="1" t="s">
        <v>19</v>
      </c>
      <c r="B8" s="1" t="n">
        <f aca="false">jaguaribe_80ml!B9/50</f>
        <v>0</v>
      </c>
      <c r="C8" s="1" t="n">
        <f aca="false">jaguaribe_80ml!C9/50</f>
        <v>0</v>
      </c>
      <c r="D8" s="1" t="n">
        <f aca="false">jaguaribe_80ml!D9/50</f>
        <v>2.64</v>
      </c>
      <c r="E8" s="1" t="n">
        <f aca="false">jaguaribe_80ml!E9/50</f>
        <v>0</v>
      </c>
      <c r="F8" s="1" t="n">
        <f aca="false">jaguaribe_80ml!F9/50</f>
        <v>44.1</v>
      </c>
      <c r="G8" s="1" t="n">
        <f aca="false">jaguaribe_80ml!G9/50</f>
        <v>0</v>
      </c>
      <c r="H8" s="1" t="n">
        <f aca="false">jaguaribe_80ml!H9/50</f>
        <v>0</v>
      </c>
      <c r="I8" s="1" t="n">
        <f aca="false">jaguaribe_80ml!I9/50</f>
        <v>93</v>
      </c>
      <c r="J8" s="1" t="n">
        <f aca="false">jaguaribe_80ml!J9/50</f>
        <v>0</v>
      </c>
      <c r="K8" s="1" t="n">
        <f aca="false">jaguaribe_80ml!K9/50</f>
        <v>0</v>
      </c>
      <c r="L8" s="1" t="n">
        <f aca="false">jaguaribe_80ml!L9/50</f>
        <v>0</v>
      </c>
      <c r="M8" s="1" t="n">
        <f aca="false">jaguaribe_80ml!M9/50</f>
        <v>4.44</v>
      </c>
      <c r="N8" s="1" t="n">
        <f aca="false">jaguaribe_80ml!N9/50</f>
        <v>0</v>
      </c>
      <c r="O8" s="1" t="n">
        <f aca="false">jaguaribe_80ml!O9/50</f>
        <v>6.78</v>
      </c>
      <c r="P8" s="1" t="n">
        <f aca="false">jaguaribe_80ml!P9/50</f>
        <v>0</v>
      </c>
      <c r="Q8" s="1" t="n">
        <f aca="false">jaguaribe_80ml!Q9/50</f>
        <v>0</v>
      </c>
      <c r="R8" s="1" t="n">
        <f aca="false">jaguaribe_80ml!R9/50</f>
        <v>0</v>
      </c>
      <c r="S8" s="1" t="n">
        <f aca="false">jaguaribe_80ml!S9/50</f>
        <v>0</v>
      </c>
      <c r="T8" s="1" t="n">
        <f aca="false">jaguaribe_80ml!T9/50</f>
        <v>5.58</v>
      </c>
      <c r="U8" s="1" t="n">
        <f aca="false">jaguaribe_80ml!U9/50</f>
        <v>0</v>
      </c>
      <c r="V8" s="1" t="n">
        <f aca="false">jaguaribe_80ml!V9/50</f>
        <v>0</v>
      </c>
      <c r="W8" s="1" t="n">
        <f aca="false">jaguaribe_80ml!W9/50</f>
        <v>0</v>
      </c>
      <c r="X8" s="1" t="n">
        <f aca="false">jaguaribe_80ml!X9/50</f>
        <v>0</v>
      </c>
      <c r="Y8" s="1" t="n">
        <f aca="false">jaguaribe_80ml!Y9/50</f>
        <v>0</v>
      </c>
      <c r="Z8" s="1" t="n">
        <f aca="false">jaguaribe_80ml!Z9/50</f>
        <v>0</v>
      </c>
      <c r="AA8" s="1" t="n">
        <f aca="false">jaguaribe_80ml!AA9/50</f>
        <v>0.3</v>
      </c>
      <c r="AB8" s="1" t="n">
        <f aca="false">jaguaribe_80ml!AB9/50</f>
        <v>0</v>
      </c>
      <c r="AC8" s="1" t="n">
        <f aca="false">jaguaribe_80ml!AC9/50</f>
        <v>0</v>
      </c>
      <c r="AD8" s="1" t="n">
        <f aca="false">jaguaribe_80ml!AD9/50</f>
        <v>0</v>
      </c>
      <c r="AE8" s="1" t="n">
        <f aca="false">jaguaribe_80ml!AE9/50</f>
        <v>0</v>
      </c>
      <c r="AF8" s="1" t="n">
        <f aca="false">jaguaribe_80ml!AF9/50</f>
        <v>0</v>
      </c>
      <c r="AG8" s="1" t="n">
        <f aca="false">jaguaribe_80ml!AG9/50</f>
        <v>0</v>
      </c>
      <c r="AH8" s="1" t="n">
        <f aca="false">jaguaribe_80ml!AH9/50</f>
        <v>0</v>
      </c>
      <c r="AI8" s="1" t="n">
        <f aca="false">jaguaribe_80ml!AI9/50</f>
        <v>0</v>
      </c>
      <c r="AJ8" s="1" t="n">
        <f aca="false">jaguaribe_80ml!AJ9/50</f>
        <v>0</v>
      </c>
      <c r="AK8" s="1" t="n">
        <f aca="false">jaguaribe_80ml!AK9/50</f>
        <v>0</v>
      </c>
      <c r="AL8" s="1" t="n">
        <f aca="false">jaguaribe_80ml!AL9/50</f>
        <v>0</v>
      </c>
      <c r="AM8" s="1" t="n">
        <f aca="false">jaguaribe_80ml!AM9/50</f>
        <v>0</v>
      </c>
      <c r="AN8" s="1" t="n">
        <f aca="false">jaguaribe_80ml!AN9/50</f>
        <v>0</v>
      </c>
      <c r="AO8" s="1" t="n">
        <f aca="false">jaguaribe_80ml!AO9/50</f>
        <v>0</v>
      </c>
      <c r="AP8" s="1" t="n">
        <f aca="false">jaguaribe_80ml!AP9/50</f>
        <v>0</v>
      </c>
      <c r="AQ8" s="1" t="n">
        <f aca="false">jaguaribe_80ml!AQ9/50</f>
        <v>0</v>
      </c>
      <c r="AR8" s="1" t="n">
        <f aca="false">jaguaribe_80ml!AR9/50</f>
        <v>1.2</v>
      </c>
      <c r="AS8" s="1" t="n">
        <f aca="false">jaguaribe_80ml!AS9/50</f>
        <v>0.02</v>
      </c>
      <c r="AT8" s="1" t="n">
        <f aca="false">jaguaribe_80ml!AT9/50</f>
        <v>8.7</v>
      </c>
      <c r="AU8" s="1" t="n">
        <f aca="false">jaguaribe_80ml!AU9/50</f>
        <v>0</v>
      </c>
      <c r="AV8" s="1" t="n">
        <f aca="false">jaguaribe_80ml!AV9/50</f>
        <v>0</v>
      </c>
      <c r="AW8" s="1" t="n">
        <f aca="false">jaguaribe_80ml!AW9/50</f>
        <v>0</v>
      </c>
      <c r="AX8" s="1" t="n">
        <f aca="false">jaguaribe_80ml!AX9/50</f>
        <v>0</v>
      </c>
      <c r="AY8" s="1" t="n">
        <f aca="false">jaguaribe_80ml!AY9/50</f>
        <v>0</v>
      </c>
      <c r="AZ8" s="1" t="n">
        <f aca="false">jaguaribe_80ml!AZ9/50</f>
        <v>0</v>
      </c>
      <c r="BA8" s="1" t="n">
        <f aca="false">jaguaribe_80ml!BA9/50</f>
        <v>0</v>
      </c>
      <c r="BB8" s="1" t="n">
        <f aca="false">jaguaribe_80ml!BB9/50</f>
        <v>0</v>
      </c>
      <c r="BC8" s="1" t="n">
        <f aca="false">jaguaribe_80ml!BC9/50</f>
        <v>0</v>
      </c>
      <c r="BD8" s="1" t="n">
        <f aca="false">jaguaribe_80ml!BD9/50</f>
        <v>0</v>
      </c>
      <c r="BE8" s="1" t="n">
        <f aca="false">jaguaribe_80ml!BE9/50</f>
        <v>0</v>
      </c>
    </row>
    <row r="9" customFormat="false" ht="12.8" hidden="false" customHeight="false" outlineLevel="0" collapsed="false">
      <c r="A9" s="1" t="s">
        <v>20</v>
      </c>
      <c r="B9" s="16" t="s">
        <v>265</v>
      </c>
      <c r="C9" s="16" t="s">
        <v>265</v>
      </c>
      <c r="D9" s="16" t="s">
        <v>265</v>
      </c>
      <c r="E9" s="16" t="s">
        <v>265</v>
      </c>
      <c r="F9" s="16" t="s">
        <v>265</v>
      </c>
      <c r="G9" s="16" t="s">
        <v>265</v>
      </c>
      <c r="H9" s="16" t="s">
        <v>265</v>
      </c>
      <c r="I9" s="16" t="s">
        <v>265</v>
      </c>
      <c r="J9" s="16" t="s">
        <v>265</v>
      </c>
      <c r="K9" s="16" t="s">
        <v>265</v>
      </c>
      <c r="L9" s="16" t="s">
        <v>265</v>
      </c>
      <c r="M9" s="16" t="s">
        <v>265</v>
      </c>
      <c r="N9" s="16" t="s">
        <v>265</v>
      </c>
      <c r="O9" s="16" t="s">
        <v>265</v>
      </c>
      <c r="P9" s="16" t="s">
        <v>265</v>
      </c>
      <c r="Q9" s="16" t="s">
        <v>265</v>
      </c>
      <c r="R9" s="16" t="s">
        <v>265</v>
      </c>
      <c r="S9" s="16" t="s">
        <v>265</v>
      </c>
      <c r="T9" s="16" t="s">
        <v>265</v>
      </c>
      <c r="U9" s="16" t="s">
        <v>265</v>
      </c>
      <c r="V9" s="16" t="s">
        <v>265</v>
      </c>
      <c r="W9" s="16" t="s">
        <v>265</v>
      </c>
      <c r="X9" s="16" t="s">
        <v>265</v>
      </c>
      <c r="Y9" s="16" t="s">
        <v>265</v>
      </c>
      <c r="Z9" s="16" t="s">
        <v>265</v>
      </c>
      <c r="AA9" s="16" t="s">
        <v>265</v>
      </c>
      <c r="AB9" s="16" t="s">
        <v>265</v>
      </c>
      <c r="AC9" s="16" t="s">
        <v>265</v>
      </c>
      <c r="AD9" s="16" t="s">
        <v>265</v>
      </c>
      <c r="AE9" s="16" t="s">
        <v>265</v>
      </c>
      <c r="AF9" s="16" t="s">
        <v>265</v>
      </c>
      <c r="AG9" s="16" t="s">
        <v>265</v>
      </c>
      <c r="AH9" s="16" t="s">
        <v>265</v>
      </c>
      <c r="AI9" s="16" t="s">
        <v>265</v>
      </c>
      <c r="AJ9" s="16" t="s">
        <v>265</v>
      </c>
      <c r="AK9" s="16" t="s">
        <v>265</v>
      </c>
      <c r="AL9" s="16" t="s">
        <v>265</v>
      </c>
      <c r="AM9" s="16" t="s">
        <v>265</v>
      </c>
      <c r="AN9" s="16" t="s">
        <v>265</v>
      </c>
      <c r="AO9" s="16" t="s">
        <v>265</v>
      </c>
      <c r="AP9" s="16" t="s">
        <v>265</v>
      </c>
      <c r="AQ9" s="16" t="s">
        <v>265</v>
      </c>
      <c r="AR9" s="16" t="s">
        <v>265</v>
      </c>
      <c r="AS9" s="16" t="s">
        <v>265</v>
      </c>
      <c r="AT9" s="16" t="s">
        <v>265</v>
      </c>
      <c r="AU9" s="16" t="s">
        <v>265</v>
      </c>
      <c r="AV9" s="16" t="s">
        <v>265</v>
      </c>
      <c r="AW9" s="16" t="s">
        <v>265</v>
      </c>
      <c r="AX9" s="16" t="s">
        <v>265</v>
      </c>
      <c r="AY9" s="16" t="s">
        <v>265</v>
      </c>
      <c r="AZ9" s="16" t="s">
        <v>265</v>
      </c>
      <c r="BA9" s="16" t="s">
        <v>265</v>
      </c>
      <c r="BB9" s="16" t="s">
        <v>265</v>
      </c>
      <c r="BC9" s="16" t="s">
        <v>265</v>
      </c>
      <c r="BD9" s="16" t="s">
        <v>265</v>
      </c>
      <c r="BE9" s="16" t="s">
        <v>265</v>
      </c>
    </row>
    <row r="10" customFormat="false" ht="12.8" hidden="false" customHeight="false" outlineLevel="0" collapsed="false">
      <c r="A10" s="1" t="s">
        <v>21</v>
      </c>
      <c r="B10" s="16" t="s">
        <v>265</v>
      </c>
      <c r="C10" s="16" t="s">
        <v>265</v>
      </c>
      <c r="D10" s="16" t="s">
        <v>265</v>
      </c>
      <c r="E10" s="16" t="s">
        <v>265</v>
      </c>
      <c r="F10" s="16" t="s">
        <v>265</v>
      </c>
      <c r="G10" s="16" t="s">
        <v>265</v>
      </c>
      <c r="H10" s="16" t="s">
        <v>265</v>
      </c>
      <c r="I10" s="16" t="s">
        <v>265</v>
      </c>
      <c r="J10" s="16" t="s">
        <v>265</v>
      </c>
      <c r="K10" s="16" t="s">
        <v>265</v>
      </c>
      <c r="L10" s="16" t="s">
        <v>265</v>
      </c>
      <c r="M10" s="16" t="s">
        <v>265</v>
      </c>
      <c r="N10" s="16" t="s">
        <v>265</v>
      </c>
      <c r="O10" s="16" t="s">
        <v>265</v>
      </c>
      <c r="P10" s="16" t="s">
        <v>265</v>
      </c>
      <c r="Q10" s="16" t="s">
        <v>265</v>
      </c>
      <c r="R10" s="16" t="s">
        <v>265</v>
      </c>
      <c r="S10" s="16" t="s">
        <v>265</v>
      </c>
      <c r="T10" s="16" t="s">
        <v>265</v>
      </c>
      <c r="U10" s="16" t="s">
        <v>265</v>
      </c>
      <c r="V10" s="16" t="s">
        <v>265</v>
      </c>
      <c r="W10" s="16" t="s">
        <v>265</v>
      </c>
      <c r="X10" s="16" t="s">
        <v>265</v>
      </c>
      <c r="Y10" s="16" t="s">
        <v>265</v>
      </c>
      <c r="Z10" s="16" t="s">
        <v>265</v>
      </c>
      <c r="AA10" s="16" t="s">
        <v>265</v>
      </c>
      <c r="AB10" s="16" t="s">
        <v>265</v>
      </c>
      <c r="AC10" s="16" t="s">
        <v>265</v>
      </c>
      <c r="AD10" s="16" t="s">
        <v>265</v>
      </c>
      <c r="AE10" s="16" t="s">
        <v>265</v>
      </c>
      <c r="AF10" s="16" t="s">
        <v>265</v>
      </c>
      <c r="AG10" s="16" t="s">
        <v>265</v>
      </c>
      <c r="AH10" s="16" t="s">
        <v>265</v>
      </c>
      <c r="AI10" s="16" t="s">
        <v>265</v>
      </c>
      <c r="AJ10" s="16" t="s">
        <v>265</v>
      </c>
      <c r="AK10" s="16" t="s">
        <v>265</v>
      </c>
      <c r="AL10" s="16" t="s">
        <v>265</v>
      </c>
      <c r="AM10" s="16" t="s">
        <v>265</v>
      </c>
      <c r="AN10" s="16" t="s">
        <v>265</v>
      </c>
      <c r="AO10" s="16" t="s">
        <v>265</v>
      </c>
      <c r="AP10" s="16" t="s">
        <v>265</v>
      </c>
      <c r="AQ10" s="16" t="s">
        <v>265</v>
      </c>
      <c r="AR10" s="16" t="s">
        <v>265</v>
      </c>
      <c r="AS10" s="16" t="s">
        <v>265</v>
      </c>
      <c r="AT10" s="16" t="s">
        <v>265</v>
      </c>
      <c r="AU10" s="16" t="s">
        <v>265</v>
      </c>
      <c r="AV10" s="16" t="s">
        <v>265</v>
      </c>
      <c r="AW10" s="16" t="s">
        <v>265</v>
      </c>
      <c r="AX10" s="16" t="s">
        <v>265</v>
      </c>
      <c r="AY10" s="16" t="s">
        <v>265</v>
      </c>
      <c r="AZ10" s="16" t="s">
        <v>265</v>
      </c>
      <c r="BA10" s="16" t="s">
        <v>265</v>
      </c>
      <c r="BB10" s="16" t="s">
        <v>265</v>
      </c>
      <c r="BC10" s="16" t="s">
        <v>265</v>
      </c>
      <c r="BD10" s="16" t="s">
        <v>265</v>
      </c>
      <c r="BE10" s="16" t="s">
        <v>265</v>
      </c>
    </row>
    <row r="11" customFormat="false" ht="12.8" hidden="false" customHeight="false" outlineLevel="0" collapsed="false">
      <c r="A11" s="1" t="s">
        <v>23</v>
      </c>
      <c r="B11" s="1" t="n">
        <f aca="false">jaguaribe_80ml!B12/50</f>
        <v>0</v>
      </c>
      <c r="C11" s="1" t="n">
        <f aca="false">jaguaribe_80ml!C12/50</f>
        <v>0</v>
      </c>
      <c r="D11" s="1" t="n">
        <f aca="false">jaguaribe_80ml!D12/50</f>
        <v>0.24</v>
      </c>
      <c r="E11" s="1" t="n">
        <f aca="false">jaguaribe_80ml!E12/50</f>
        <v>0</v>
      </c>
      <c r="F11" s="1" t="n">
        <f aca="false">jaguaribe_80ml!F12/50</f>
        <v>6.52</v>
      </c>
      <c r="G11" s="1" t="n">
        <f aca="false">jaguaribe_80ml!G12/50</f>
        <v>0</v>
      </c>
      <c r="H11" s="1" t="n">
        <f aca="false">jaguaribe_80ml!H12/50</f>
        <v>0</v>
      </c>
      <c r="I11" s="1" t="n">
        <f aca="false">jaguaribe_80ml!I12/50</f>
        <v>24.2</v>
      </c>
      <c r="J11" s="1" t="n">
        <f aca="false">jaguaribe_80ml!J12/50</f>
        <v>0</v>
      </c>
      <c r="K11" s="1" t="n">
        <f aca="false">jaguaribe_80ml!K12/50</f>
        <v>0.04</v>
      </c>
      <c r="L11" s="1" t="n">
        <f aca="false">jaguaribe_80ml!L12/50</f>
        <v>0</v>
      </c>
      <c r="M11" s="1" t="n">
        <f aca="false">jaguaribe_80ml!M12/50</f>
        <v>0.4</v>
      </c>
      <c r="N11" s="1" t="n">
        <f aca="false">jaguaribe_80ml!N12/50</f>
        <v>0</v>
      </c>
      <c r="O11" s="1" t="n">
        <f aca="false">jaguaribe_80ml!O12/50</f>
        <v>0.72</v>
      </c>
      <c r="P11" s="1" t="n">
        <f aca="false">jaguaribe_80ml!P12/50</f>
        <v>0</v>
      </c>
      <c r="Q11" s="1" t="n">
        <f aca="false">jaguaribe_80ml!Q12/50</f>
        <v>0</v>
      </c>
      <c r="R11" s="1" t="n">
        <f aca="false">jaguaribe_80ml!R12/50</f>
        <v>0</v>
      </c>
      <c r="S11" s="1" t="n">
        <f aca="false">jaguaribe_80ml!S12/50</f>
        <v>0</v>
      </c>
      <c r="T11" s="1" t="n">
        <f aca="false">jaguaribe_80ml!T12/50</f>
        <v>0.38</v>
      </c>
      <c r="U11" s="1" t="n">
        <f aca="false">jaguaribe_80ml!U12/50</f>
        <v>0</v>
      </c>
      <c r="V11" s="1" t="n">
        <f aca="false">jaguaribe_80ml!V12/50</f>
        <v>0</v>
      </c>
      <c r="W11" s="1" t="n">
        <f aca="false">jaguaribe_80ml!W12/50</f>
        <v>0</v>
      </c>
      <c r="X11" s="1" t="n">
        <f aca="false">jaguaribe_80ml!X12/50</f>
        <v>0</v>
      </c>
      <c r="Y11" s="1" t="n">
        <f aca="false">jaguaribe_80ml!Y12/50</f>
        <v>0</v>
      </c>
      <c r="Z11" s="1" t="n">
        <f aca="false">jaguaribe_80ml!Z12/50</f>
        <v>0</v>
      </c>
      <c r="AA11" s="1" t="n">
        <f aca="false">jaguaribe_80ml!AA12/50</f>
        <v>0</v>
      </c>
      <c r="AB11" s="1" t="n">
        <f aca="false">jaguaribe_80ml!AB12/50</f>
        <v>0</v>
      </c>
      <c r="AC11" s="1" t="n">
        <f aca="false">jaguaribe_80ml!AC12/50</f>
        <v>0</v>
      </c>
      <c r="AD11" s="1" t="n">
        <f aca="false">jaguaribe_80ml!AD12/50</f>
        <v>0.02</v>
      </c>
      <c r="AE11" s="1" t="n">
        <f aca="false">jaguaribe_80ml!AE12/50</f>
        <v>0</v>
      </c>
      <c r="AF11" s="1" t="n">
        <f aca="false">jaguaribe_80ml!AF12/50</f>
        <v>0.02</v>
      </c>
      <c r="AG11" s="1" t="n">
        <f aca="false">jaguaribe_80ml!AG12/50</f>
        <v>0</v>
      </c>
      <c r="AH11" s="1" t="n">
        <f aca="false">jaguaribe_80ml!AH12/50</f>
        <v>0</v>
      </c>
      <c r="AI11" s="1" t="n">
        <f aca="false">jaguaribe_80ml!AI12/50</f>
        <v>0.06</v>
      </c>
      <c r="AJ11" s="1" t="n">
        <f aca="false">jaguaribe_80ml!AJ12/50</f>
        <v>0</v>
      </c>
      <c r="AK11" s="1" t="n">
        <f aca="false">jaguaribe_80ml!AK12/50</f>
        <v>0</v>
      </c>
      <c r="AL11" s="1" t="n">
        <f aca="false">jaguaribe_80ml!AL12/50</f>
        <v>0</v>
      </c>
      <c r="AM11" s="1" t="n">
        <f aca="false">jaguaribe_80ml!AM12/50</f>
        <v>0</v>
      </c>
      <c r="AN11" s="1" t="n">
        <f aca="false">jaguaribe_80ml!AN12/50</f>
        <v>0</v>
      </c>
      <c r="AO11" s="1" t="n">
        <f aca="false">jaguaribe_80ml!AO12/50</f>
        <v>0</v>
      </c>
      <c r="AP11" s="1" t="n">
        <f aca="false">jaguaribe_80ml!AP12/50</f>
        <v>0</v>
      </c>
      <c r="AQ11" s="1" t="n">
        <f aca="false">jaguaribe_80ml!AQ12/50</f>
        <v>0</v>
      </c>
      <c r="AR11" s="1" t="n">
        <f aca="false">jaguaribe_80ml!AR12/50</f>
        <v>1.64</v>
      </c>
      <c r="AS11" s="1" t="n">
        <f aca="false">jaguaribe_80ml!AS12/50</f>
        <v>0.04</v>
      </c>
      <c r="AT11" s="1" t="n">
        <f aca="false">jaguaribe_80ml!AT12/50</f>
        <v>0.62</v>
      </c>
      <c r="AU11" s="1" t="n">
        <f aca="false">jaguaribe_80ml!AU12/50</f>
        <v>0</v>
      </c>
      <c r="AV11" s="1" t="n">
        <f aca="false">jaguaribe_80ml!AV12/50</f>
        <v>0</v>
      </c>
      <c r="AW11" s="1" t="n">
        <f aca="false">jaguaribe_80ml!AW12/50</f>
        <v>0</v>
      </c>
      <c r="AX11" s="1" t="n">
        <f aca="false">jaguaribe_80ml!AX12/50</f>
        <v>0</v>
      </c>
      <c r="AY11" s="1" t="n">
        <f aca="false">jaguaribe_80ml!AY12/50</f>
        <v>0</v>
      </c>
      <c r="AZ11" s="1" t="n">
        <f aca="false">jaguaribe_80ml!AZ12/50</f>
        <v>0</v>
      </c>
      <c r="BA11" s="1" t="n">
        <f aca="false">jaguaribe_80ml!BA12/50</f>
        <v>0.02</v>
      </c>
      <c r="BB11" s="1" t="n">
        <f aca="false">jaguaribe_80ml!BB12/50</f>
        <v>0.02</v>
      </c>
      <c r="BC11" s="1" t="n">
        <f aca="false">jaguaribe_80ml!BC12/50</f>
        <v>0</v>
      </c>
      <c r="BD11" s="1" t="n">
        <f aca="false">jaguaribe_80ml!BD12/50</f>
        <v>0</v>
      </c>
      <c r="BE11" s="1" t="n">
        <f aca="false">jaguaribe_80ml!BE12/50</f>
        <v>0</v>
      </c>
    </row>
    <row r="12" customFormat="false" ht="12.8" hidden="false" customHeight="false" outlineLevel="0" collapsed="false">
      <c r="A12" s="1" t="s">
        <v>24</v>
      </c>
      <c r="B12" s="16" t="s">
        <v>265</v>
      </c>
      <c r="C12" s="16" t="s">
        <v>265</v>
      </c>
      <c r="D12" s="16" t="s">
        <v>265</v>
      </c>
      <c r="E12" s="16" t="s">
        <v>265</v>
      </c>
      <c r="F12" s="16" t="s">
        <v>265</v>
      </c>
      <c r="G12" s="16" t="s">
        <v>265</v>
      </c>
      <c r="H12" s="16" t="s">
        <v>265</v>
      </c>
      <c r="I12" s="16" t="s">
        <v>265</v>
      </c>
      <c r="J12" s="16" t="s">
        <v>265</v>
      </c>
      <c r="K12" s="16" t="s">
        <v>265</v>
      </c>
      <c r="L12" s="16" t="s">
        <v>265</v>
      </c>
      <c r="M12" s="16" t="s">
        <v>265</v>
      </c>
      <c r="N12" s="16" t="s">
        <v>265</v>
      </c>
      <c r="O12" s="16" t="s">
        <v>265</v>
      </c>
      <c r="P12" s="16" t="s">
        <v>265</v>
      </c>
      <c r="Q12" s="16" t="s">
        <v>265</v>
      </c>
      <c r="R12" s="16" t="s">
        <v>265</v>
      </c>
      <c r="S12" s="16" t="s">
        <v>265</v>
      </c>
      <c r="T12" s="16" t="s">
        <v>265</v>
      </c>
      <c r="U12" s="16" t="s">
        <v>265</v>
      </c>
      <c r="V12" s="16" t="s">
        <v>265</v>
      </c>
      <c r="W12" s="16" t="s">
        <v>265</v>
      </c>
      <c r="X12" s="16" t="s">
        <v>265</v>
      </c>
      <c r="Y12" s="16" t="s">
        <v>265</v>
      </c>
      <c r="Z12" s="16" t="s">
        <v>265</v>
      </c>
      <c r="AA12" s="16" t="s">
        <v>265</v>
      </c>
      <c r="AB12" s="16" t="s">
        <v>265</v>
      </c>
      <c r="AC12" s="16" t="s">
        <v>265</v>
      </c>
      <c r="AD12" s="16" t="s">
        <v>265</v>
      </c>
      <c r="AE12" s="16" t="s">
        <v>265</v>
      </c>
      <c r="AF12" s="16" t="s">
        <v>265</v>
      </c>
      <c r="AG12" s="16" t="s">
        <v>265</v>
      </c>
      <c r="AH12" s="16" t="s">
        <v>265</v>
      </c>
      <c r="AI12" s="16" t="s">
        <v>265</v>
      </c>
      <c r="AJ12" s="16" t="s">
        <v>265</v>
      </c>
      <c r="AK12" s="16" t="s">
        <v>265</v>
      </c>
      <c r="AL12" s="16" t="s">
        <v>265</v>
      </c>
      <c r="AM12" s="16" t="s">
        <v>265</v>
      </c>
      <c r="AN12" s="16" t="s">
        <v>265</v>
      </c>
      <c r="AO12" s="16" t="s">
        <v>265</v>
      </c>
      <c r="AP12" s="16" t="s">
        <v>265</v>
      </c>
      <c r="AQ12" s="16" t="s">
        <v>265</v>
      </c>
      <c r="AR12" s="16" t="s">
        <v>265</v>
      </c>
      <c r="AS12" s="16" t="s">
        <v>265</v>
      </c>
      <c r="AT12" s="16" t="s">
        <v>265</v>
      </c>
      <c r="AU12" s="16" t="s">
        <v>265</v>
      </c>
      <c r="AV12" s="16" t="s">
        <v>265</v>
      </c>
      <c r="AW12" s="16" t="s">
        <v>265</v>
      </c>
      <c r="AX12" s="16" t="s">
        <v>265</v>
      </c>
      <c r="AY12" s="16" t="s">
        <v>265</v>
      </c>
      <c r="AZ12" s="16" t="s">
        <v>265</v>
      </c>
      <c r="BA12" s="16" t="s">
        <v>265</v>
      </c>
      <c r="BB12" s="16" t="s">
        <v>265</v>
      </c>
      <c r="BC12" s="16" t="s">
        <v>265</v>
      </c>
      <c r="BD12" s="16" t="s">
        <v>265</v>
      </c>
      <c r="BE12" s="16" t="s">
        <v>265</v>
      </c>
    </row>
    <row r="13" customFormat="false" ht="12.8" hidden="false" customHeight="false" outlineLevel="0" collapsed="false">
      <c r="A13" s="1" t="s">
        <v>25</v>
      </c>
      <c r="B13" s="16" t="s">
        <v>265</v>
      </c>
      <c r="C13" s="16" t="s">
        <v>265</v>
      </c>
      <c r="D13" s="16" t="s">
        <v>265</v>
      </c>
      <c r="E13" s="16" t="s">
        <v>265</v>
      </c>
      <c r="F13" s="16" t="s">
        <v>265</v>
      </c>
      <c r="G13" s="16" t="s">
        <v>265</v>
      </c>
      <c r="H13" s="16" t="s">
        <v>265</v>
      </c>
      <c r="I13" s="16" t="s">
        <v>265</v>
      </c>
      <c r="J13" s="16" t="s">
        <v>265</v>
      </c>
      <c r="K13" s="16" t="s">
        <v>265</v>
      </c>
      <c r="L13" s="16" t="s">
        <v>265</v>
      </c>
      <c r="M13" s="16" t="s">
        <v>265</v>
      </c>
      <c r="N13" s="16" t="s">
        <v>265</v>
      </c>
      <c r="O13" s="16" t="s">
        <v>265</v>
      </c>
      <c r="P13" s="16" t="s">
        <v>265</v>
      </c>
      <c r="Q13" s="16" t="s">
        <v>265</v>
      </c>
      <c r="R13" s="16" t="s">
        <v>265</v>
      </c>
      <c r="S13" s="16" t="s">
        <v>265</v>
      </c>
      <c r="T13" s="16" t="s">
        <v>265</v>
      </c>
      <c r="U13" s="16" t="s">
        <v>265</v>
      </c>
      <c r="V13" s="16" t="s">
        <v>265</v>
      </c>
      <c r="W13" s="16" t="s">
        <v>265</v>
      </c>
      <c r="X13" s="16" t="s">
        <v>265</v>
      </c>
      <c r="Y13" s="16" t="s">
        <v>265</v>
      </c>
      <c r="Z13" s="16" t="s">
        <v>265</v>
      </c>
      <c r="AA13" s="16" t="s">
        <v>265</v>
      </c>
      <c r="AB13" s="16" t="s">
        <v>265</v>
      </c>
      <c r="AC13" s="16" t="s">
        <v>265</v>
      </c>
      <c r="AD13" s="16" t="s">
        <v>265</v>
      </c>
      <c r="AE13" s="16" t="s">
        <v>265</v>
      </c>
      <c r="AF13" s="16" t="s">
        <v>265</v>
      </c>
      <c r="AG13" s="16" t="s">
        <v>265</v>
      </c>
      <c r="AH13" s="16" t="s">
        <v>265</v>
      </c>
      <c r="AI13" s="16" t="s">
        <v>265</v>
      </c>
      <c r="AJ13" s="16" t="s">
        <v>265</v>
      </c>
      <c r="AK13" s="16" t="s">
        <v>265</v>
      </c>
      <c r="AL13" s="16" t="s">
        <v>265</v>
      </c>
      <c r="AM13" s="16" t="s">
        <v>265</v>
      </c>
      <c r="AN13" s="16" t="s">
        <v>265</v>
      </c>
      <c r="AO13" s="16" t="s">
        <v>265</v>
      </c>
      <c r="AP13" s="16" t="s">
        <v>265</v>
      </c>
      <c r="AQ13" s="16" t="s">
        <v>265</v>
      </c>
      <c r="AR13" s="16" t="s">
        <v>265</v>
      </c>
      <c r="AS13" s="16" t="s">
        <v>265</v>
      </c>
      <c r="AT13" s="16" t="s">
        <v>265</v>
      </c>
      <c r="AU13" s="16" t="s">
        <v>265</v>
      </c>
      <c r="AV13" s="16" t="s">
        <v>265</v>
      </c>
      <c r="AW13" s="16" t="s">
        <v>265</v>
      </c>
      <c r="AX13" s="16" t="s">
        <v>265</v>
      </c>
      <c r="AY13" s="16" t="s">
        <v>265</v>
      </c>
      <c r="AZ13" s="16" t="s">
        <v>265</v>
      </c>
      <c r="BA13" s="16" t="s">
        <v>265</v>
      </c>
      <c r="BB13" s="16" t="s">
        <v>265</v>
      </c>
      <c r="BC13" s="16" t="s">
        <v>265</v>
      </c>
      <c r="BD13" s="16" t="s">
        <v>265</v>
      </c>
      <c r="BE13" s="16" t="s">
        <v>265</v>
      </c>
    </row>
    <row r="14" customFormat="false" ht="12.8" hidden="false" customHeight="false" outlineLevel="0" collapsed="false">
      <c r="A14" s="1" t="s">
        <v>27</v>
      </c>
      <c r="B14" s="1" t="n">
        <f aca="false">jaguaribe_80ml!B15/50</f>
        <v>0.02</v>
      </c>
      <c r="C14" s="1" t="n">
        <f aca="false">jaguaribe_80ml!C15/50</f>
        <v>0</v>
      </c>
      <c r="D14" s="1" t="n">
        <f aca="false">jaguaribe_80ml!D15/50</f>
        <v>1</v>
      </c>
      <c r="E14" s="1" t="n">
        <f aca="false">jaguaribe_80ml!E15/50</f>
        <v>0</v>
      </c>
      <c r="F14" s="1" t="n">
        <f aca="false">jaguaribe_80ml!F15/50</f>
        <v>3.36</v>
      </c>
      <c r="G14" s="1" t="n">
        <f aca="false">jaguaribe_80ml!G15/50</f>
        <v>0</v>
      </c>
      <c r="H14" s="1" t="n">
        <f aca="false">jaguaribe_80ml!H15/50</f>
        <v>0</v>
      </c>
      <c r="I14" s="1" t="n">
        <f aca="false">jaguaribe_80ml!I15/50</f>
        <v>4.3</v>
      </c>
      <c r="J14" s="1" t="n">
        <f aca="false">jaguaribe_80ml!J15/50</f>
        <v>0</v>
      </c>
      <c r="K14" s="1" t="n">
        <f aca="false">jaguaribe_80ml!K15/50</f>
        <v>0.06</v>
      </c>
      <c r="L14" s="1" t="n">
        <f aca="false">jaguaribe_80ml!L15/50</f>
        <v>0</v>
      </c>
      <c r="M14" s="1" t="n">
        <f aca="false">jaguaribe_80ml!M15/50</f>
        <v>0.32</v>
      </c>
      <c r="N14" s="1" t="n">
        <f aca="false">jaguaribe_80ml!N15/50</f>
        <v>0</v>
      </c>
      <c r="O14" s="1" t="n">
        <f aca="false">jaguaribe_80ml!O15/50</f>
        <v>0.38</v>
      </c>
      <c r="P14" s="1" t="n">
        <f aca="false">jaguaribe_80ml!P15/50</f>
        <v>0</v>
      </c>
      <c r="Q14" s="1" t="n">
        <f aca="false">jaguaribe_80ml!Q15/50</f>
        <v>0</v>
      </c>
      <c r="R14" s="1" t="n">
        <f aca="false">jaguaribe_80ml!R15/50</f>
        <v>0</v>
      </c>
      <c r="S14" s="1" t="n">
        <f aca="false">jaguaribe_80ml!S15/50</f>
        <v>0</v>
      </c>
      <c r="T14" s="1" t="n">
        <f aca="false">jaguaribe_80ml!T15/50</f>
        <v>0.42</v>
      </c>
      <c r="U14" s="1" t="n">
        <f aca="false">jaguaribe_80ml!U15/50</f>
        <v>0</v>
      </c>
      <c r="V14" s="1" t="n">
        <f aca="false">jaguaribe_80ml!V15/50</f>
        <v>0</v>
      </c>
      <c r="W14" s="1" t="n">
        <f aca="false">jaguaribe_80ml!W15/50</f>
        <v>0</v>
      </c>
      <c r="X14" s="1" t="n">
        <f aca="false">jaguaribe_80ml!X15/50</f>
        <v>0</v>
      </c>
      <c r="Y14" s="1" t="n">
        <f aca="false">jaguaribe_80ml!Y15/50</f>
        <v>0</v>
      </c>
      <c r="Z14" s="1" t="n">
        <f aca="false">jaguaribe_80ml!Z15/50</f>
        <v>0</v>
      </c>
      <c r="AA14" s="1" t="n">
        <f aca="false">jaguaribe_80ml!AA15/50</f>
        <v>0</v>
      </c>
      <c r="AB14" s="1" t="n">
        <f aca="false">jaguaribe_80ml!AB15/50</f>
        <v>0</v>
      </c>
      <c r="AC14" s="1" t="n">
        <f aca="false">jaguaribe_80ml!AC15/50</f>
        <v>0.02</v>
      </c>
      <c r="AD14" s="1" t="n">
        <f aca="false">jaguaribe_80ml!AD15/50</f>
        <v>0.1</v>
      </c>
      <c r="AE14" s="1" t="n">
        <f aca="false">jaguaribe_80ml!AE15/50</f>
        <v>0</v>
      </c>
      <c r="AF14" s="1" t="n">
        <f aca="false">jaguaribe_80ml!AF15/50</f>
        <v>0.52</v>
      </c>
      <c r="AG14" s="1" t="n">
        <f aca="false">jaguaribe_80ml!AG15/50</f>
        <v>0</v>
      </c>
      <c r="AH14" s="1" t="n">
        <f aca="false">jaguaribe_80ml!AH15/50</f>
        <v>0</v>
      </c>
      <c r="AI14" s="1" t="n">
        <f aca="false">jaguaribe_80ml!AI15/50</f>
        <v>0.04</v>
      </c>
      <c r="AJ14" s="1" t="n">
        <f aca="false">jaguaribe_80ml!AJ15/50</f>
        <v>0.84</v>
      </c>
      <c r="AK14" s="1" t="n">
        <f aca="false">jaguaribe_80ml!AK15/50</f>
        <v>0</v>
      </c>
      <c r="AL14" s="1" t="n">
        <f aca="false">jaguaribe_80ml!AL15/50</f>
        <v>0.06</v>
      </c>
      <c r="AM14" s="1" t="n">
        <f aca="false">jaguaribe_80ml!AM15/50</f>
        <v>0</v>
      </c>
      <c r="AN14" s="1" t="n">
        <f aca="false">jaguaribe_80ml!AN15/50</f>
        <v>0</v>
      </c>
      <c r="AO14" s="1" t="n">
        <f aca="false">jaguaribe_80ml!AO15/50</f>
        <v>0</v>
      </c>
      <c r="AP14" s="1" t="n">
        <f aca="false">jaguaribe_80ml!AP15/50</f>
        <v>0</v>
      </c>
      <c r="AQ14" s="1" t="n">
        <f aca="false">jaguaribe_80ml!AQ15/50</f>
        <v>0.02</v>
      </c>
      <c r="AR14" s="1" t="n">
        <f aca="false">jaguaribe_80ml!AR15/50</f>
        <v>0.48</v>
      </c>
      <c r="AS14" s="1" t="n">
        <f aca="false">jaguaribe_80ml!AS15/50</f>
        <v>0</v>
      </c>
      <c r="AT14" s="1" t="n">
        <f aca="false">jaguaribe_80ml!AT15/50</f>
        <v>0.44</v>
      </c>
      <c r="AU14" s="1" t="n">
        <f aca="false">jaguaribe_80ml!AU15/50</f>
        <v>0</v>
      </c>
      <c r="AV14" s="1" t="n">
        <f aca="false">jaguaribe_80ml!AV15/50</f>
        <v>0</v>
      </c>
      <c r="AW14" s="1" t="n">
        <f aca="false">jaguaribe_80ml!AW15/50</f>
        <v>0.02</v>
      </c>
      <c r="AX14" s="1" t="n">
        <f aca="false">jaguaribe_80ml!AX15/50</f>
        <v>0.34</v>
      </c>
      <c r="AY14" s="1" t="n">
        <f aca="false">jaguaribe_80ml!AY15/50</f>
        <v>0</v>
      </c>
      <c r="AZ14" s="1" t="n">
        <f aca="false">jaguaribe_80ml!AZ15/50</f>
        <v>0</v>
      </c>
      <c r="BA14" s="1" t="n">
        <f aca="false">jaguaribe_80ml!BA15/50</f>
        <v>0</v>
      </c>
      <c r="BB14" s="1" t="n">
        <f aca="false">jaguaribe_80ml!BB15/50</f>
        <v>0</v>
      </c>
      <c r="BC14" s="1" t="n">
        <f aca="false">jaguaribe_80ml!BC15/50</f>
        <v>0.12</v>
      </c>
      <c r="BD14" s="1" t="n">
        <f aca="false">jaguaribe_80ml!BD15/50</f>
        <v>0</v>
      </c>
      <c r="BE14" s="1" t="n">
        <f aca="false">jaguaribe_80ml!BE15/50</f>
        <v>0</v>
      </c>
    </row>
    <row r="15" customFormat="false" ht="12.8" hidden="false" customHeight="false" outlineLevel="0" collapsed="false">
      <c r="A15" s="1" t="s">
        <v>28</v>
      </c>
      <c r="B15" s="16" t="s">
        <v>265</v>
      </c>
      <c r="C15" s="16" t="s">
        <v>265</v>
      </c>
      <c r="D15" s="16" t="s">
        <v>265</v>
      </c>
      <c r="E15" s="16" t="s">
        <v>265</v>
      </c>
      <c r="F15" s="16" t="s">
        <v>265</v>
      </c>
      <c r="G15" s="16" t="s">
        <v>265</v>
      </c>
      <c r="H15" s="16" t="s">
        <v>265</v>
      </c>
      <c r="I15" s="16" t="s">
        <v>265</v>
      </c>
      <c r="J15" s="16" t="s">
        <v>265</v>
      </c>
      <c r="K15" s="16" t="s">
        <v>265</v>
      </c>
      <c r="L15" s="16" t="s">
        <v>265</v>
      </c>
      <c r="M15" s="16" t="s">
        <v>265</v>
      </c>
      <c r="N15" s="16" t="s">
        <v>265</v>
      </c>
      <c r="O15" s="16" t="s">
        <v>265</v>
      </c>
      <c r="P15" s="16" t="s">
        <v>265</v>
      </c>
      <c r="Q15" s="16" t="s">
        <v>265</v>
      </c>
      <c r="R15" s="16" t="s">
        <v>265</v>
      </c>
      <c r="S15" s="16" t="s">
        <v>265</v>
      </c>
      <c r="T15" s="16" t="s">
        <v>265</v>
      </c>
      <c r="U15" s="16" t="s">
        <v>265</v>
      </c>
      <c r="V15" s="16" t="s">
        <v>265</v>
      </c>
      <c r="W15" s="16" t="s">
        <v>265</v>
      </c>
      <c r="X15" s="16" t="s">
        <v>265</v>
      </c>
      <c r="Y15" s="16" t="s">
        <v>265</v>
      </c>
      <c r="Z15" s="16" t="s">
        <v>265</v>
      </c>
      <c r="AA15" s="16" t="s">
        <v>265</v>
      </c>
      <c r="AB15" s="16" t="s">
        <v>265</v>
      </c>
      <c r="AC15" s="16" t="s">
        <v>265</v>
      </c>
      <c r="AD15" s="16" t="s">
        <v>265</v>
      </c>
      <c r="AE15" s="16" t="s">
        <v>265</v>
      </c>
      <c r="AF15" s="16" t="s">
        <v>265</v>
      </c>
      <c r="AG15" s="16" t="s">
        <v>265</v>
      </c>
      <c r="AH15" s="16" t="s">
        <v>265</v>
      </c>
      <c r="AI15" s="16" t="s">
        <v>265</v>
      </c>
      <c r="AJ15" s="16" t="s">
        <v>265</v>
      </c>
      <c r="AK15" s="16" t="s">
        <v>265</v>
      </c>
      <c r="AL15" s="16" t="s">
        <v>265</v>
      </c>
      <c r="AM15" s="16" t="s">
        <v>265</v>
      </c>
      <c r="AN15" s="16" t="s">
        <v>265</v>
      </c>
      <c r="AO15" s="16" t="s">
        <v>265</v>
      </c>
      <c r="AP15" s="16" t="s">
        <v>265</v>
      </c>
      <c r="AQ15" s="16" t="s">
        <v>265</v>
      </c>
      <c r="AR15" s="16" t="s">
        <v>265</v>
      </c>
      <c r="AS15" s="16" t="s">
        <v>265</v>
      </c>
      <c r="AT15" s="16" t="s">
        <v>265</v>
      </c>
      <c r="AU15" s="16" t="s">
        <v>265</v>
      </c>
      <c r="AV15" s="16" t="s">
        <v>265</v>
      </c>
      <c r="AW15" s="16" t="s">
        <v>265</v>
      </c>
      <c r="AX15" s="16" t="s">
        <v>265</v>
      </c>
      <c r="AY15" s="16" t="s">
        <v>265</v>
      </c>
      <c r="AZ15" s="16" t="s">
        <v>265</v>
      </c>
      <c r="BA15" s="16" t="s">
        <v>265</v>
      </c>
      <c r="BB15" s="16" t="s">
        <v>265</v>
      </c>
      <c r="BC15" s="16" t="s">
        <v>265</v>
      </c>
      <c r="BD15" s="16" t="s">
        <v>265</v>
      </c>
      <c r="BE15" s="16" t="s">
        <v>265</v>
      </c>
    </row>
    <row r="16" customFormat="false" ht="12.8" hidden="false" customHeight="false" outlineLevel="0" collapsed="false">
      <c r="A16" s="1" t="s">
        <v>29</v>
      </c>
      <c r="B16" s="16" t="s">
        <v>265</v>
      </c>
      <c r="C16" s="16" t="s">
        <v>265</v>
      </c>
      <c r="D16" s="16" t="s">
        <v>265</v>
      </c>
      <c r="E16" s="16" t="s">
        <v>265</v>
      </c>
      <c r="F16" s="16" t="s">
        <v>265</v>
      </c>
      <c r="G16" s="16" t="s">
        <v>265</v>
      </c>
      <c r="H16" s="16" t="s">
        <v>265</v>
      </c>
      <c r="I16" s="16" t="s">
        <v>265</v>
      </c>
      <c r="J16" s="16" t="s">
        <v>265</v>
      </c>
      <c r="K16" s="16" t="s">
        <v>265</v>
      </c>
      <c r="L16" s="16" t="s">
        <v>265</v>
      </c>
      <c r="M16" s="16" t="s">
        <v>265</v>
      </c>
      <c r="N16" s="16" t="s">
        <v>265</v>
      </c>
      <c r="O16" s="16" t="s">
        <v>265</v>
      </c>
      <c r="P16" s="16" t="s">
        <v>265</v>
      </c>
      <c r="Q16" s="16" t="s">
        <v>265</v>
      </c>
      <c r="R16" s="16" t="s">
        <v>265</v>
      </c>
      <c r="S16" s="16" t="s">
        <v>265</v>
      </c>
      <c r="T16" s="16" t="s">
        <v>265</v>
      </c>
      <c r="U16" s="16" t="s">
        <v>265</v>
      </c>
      <c r="V16" s="16" t="s">
        <v>265</v>
      </c>
      <c r="W16" s="16" t="s">
        <v>265</v>
      </c>
      <c r="X16" s="16" t="s">
        <v>265</v>
      </c>
      <c r="Y16" s="16" t="s">
        <v>265</v>
      </c>
      <c r="Z16" s="16" t="s">
        <v>265</v>
      </c>
      <c r="AA16" s="16" t="s">
        <v>265</v>
      </c>
      <c r="AB16" s="16" t="s">
        <v>265</v>
      </c>
      <c r="AC16" s="16" t="s">
        <v>265</v>
      </c>
      <c r="AD16" s="16" t="s">
        <v>265</v>
      </c>
      <c r="AE16" s="16" t="s">
        <v>265</v>
      </c>
      <c r="AF16" s="16" t="s">
        <v>265</v>
      </c>
      <c r="AG16" s="16" t="s">
        <v>265</v>
      </c>
      <c r="AH16" s="16" t="s">
        <v>265</v>
      </c>
      <c r="AI16" s="16" t="s">
        <v>265</v>
      </c>
      <c r="AJ16" s="16" t="s">
        <v>265</v>
      </c>
      <c r="AK16" s="16" t="s">
        <v>265</v>
      </c>
      <c r="AL16" s="16" t="s">
        <v>265</v>
      </c>
      <c r="AM16" s="16" t="s">
        <v>265</v>
      </c>
      <c r="AN16" s="16" t="s">
        <v>265</v>
      </c>
      <c r="AO16" s="16" t="s">
        <v>265</v>
      </c>
      <c r="AP16" s="16" t="s">
        <v>265</v>
      </c>
      <c r="AQ16" s="16" t="s">
        <v>265</v>
      </c>
      <c r="AR16" s="16" t="s">
        <v>265</v>
      </c>
      <c r="AS16" s="16" t="s">
        <v>265</v>
      </c>
      <c r="AT16" s="16" t="s">
        <v>265</v>
      </c>
      <c r="AU16" s="16" t="s">
        <v>265</v>
      </c>
      <c r="AV16" s="16" t="s">
        <v>265</v>
      </c>
      <c r="AW16" s="16" t="s">
        <v>265</v>
      </c>
      <c r="AX16" s="16" t="s">
        <v>265</v>
      </c>
      <c r="AY16" s="16" t="s">
        <v>265</v>
      </c>
      <c r="AZ16" s="16" t="s">
        <v>265</v>
      </c>
      <c r="BA16" s="16" t="s">
        <v>265</v>
      </c>
      <c r="BB16" s="16" t="s">
        <v>265</v>
      </c>
      <c r="BC16" s="16" t="s">
        <v>265</v>
      </c>
      <c r="BD16" s="16" t="s">
        <v>265</v>
      </c>
      <c r="BE16" s="16" t="s">
        <v>265</v>
      </c>
    </row>
    <row r="17" customFormat="false" ht="12.8" hidden="false" customHeight="false" outlineLevel="0" collapsed="false">
      <c r="A17" s="1" t="s">
        <v>31</v>
      </c>
      <c r="B17" s="1" t="n">
        <f aca="false">jaguaribe_80ml!B18/50</f>
        <v>0.04</v>
      </c>
      <c r="C17" s="1" t="n">
        <f aca="false">jaguaribe_80ml!C18/50</f>
        <v>0</v>
      </c>
      <c r="D17" s="1" t="n">
        <f aca="false">jaguaribe_80ml!D18/50</f>
        <v>0.02</v>
      </c>
      <c r="E17" s="1" t="n">
        <f aca="false">jaguaribe_80ml!E18/50</f>
        <v>0</v>
      </c>
      <c r="F17" s="1" t="n">
        <f aca="false">jaguaribe_80ml!F18/50</f>
        <v>0.76</v>
      </c>
      <c r="G17" s="1" t="n">
        <f aca="false">jaguaribe_80ml!G18/50</f>
        <v>0</v>
      </c>
      <c r="H17" s="1" t="n">
        <f aca="false">jaguaribe_80ml!H18/50</f>
        <v>0</v>
      </c>
      <c r="I17" s="1" t="n">
        <f aca="false">jaguaribe_80ml!I18/50</f>
        <v>0.8</v>
      </c>
      <c r="J17" s="1" t="n">
        <f aca="false">jaguaribe_80ml!J18/50</f>
        <v>0</v>
      </c>
      <c r="K17" s="1" t="n">
        <f aca="false">jaguaribe_80ml!K18/50</f>
        <v>0</v>
      </c>
      <c r="L17" s="1" t="n">
        <f aca="false">jaguaribe_80ml!L18/50</f>
        <v>0</v>
      </c>
      <c r="M17" s="1" t="n">
        <f aca="false">jaguaribe_80ml!M18/50</f>
        <v>0.1</v>
      </c>
      <c r="N17" s="1" t="n">
        <f aca="false">jaguaribe_80ml!N18/50</f>
        <v>0.04</v>
      </c>
      <c r="O17" s="1" t="n">
        <f aca="false">jaguaribe_80ml!O18/50</f>
        <v>0.02</v>
      </c>
      <c r="P17" s="1" t="n">
        <f aca="false">jaguaribe_80ml!P18/50</f>
        <v>0</v>
      </c>
      <c r="Q17" s="1" t="n">
        <f aca="false">jaguaribe_80ml!Q18/50</f>
        <v>0</v>
      </c>
      <c r="R17" s="1" t="n">
        <f aca="false">jaguaribe_80ml!R18/50</f>
        <v>0</v>
      </c>
      <c r="S17" s="1" t="n">
        <f aca="false">jaguaribe_80ml!S18/50</f>
        <v>0</v>
      </c>
      <c r="T17" s="1" t="n">
        <f aca="false">jaguaribe_80ml!T18/50</f>
        <v>0.1</v>
      </c>
      <c r="U17" s="1" t="n">
        <f aca="false">jaguaribe_80ml!U18/50</f>
        <v>0</v>
      </c>
      <c r="V17" s="1" t="n">
        <f aca="false">jaguaribe_80ml!V18/50</f>
        <v>0</v>
      </c>
      <c r="W17" s="1" t="n">
        <f aca="false">jaguaribe_80ml!W18/50</f>
        <v>0</v>
      </c>
      <c r="X17" s="1" t="n">
        <f aca="false">jaguaribe_80ml!X18/50</f>
        <v>0</v>
      </c>
      <c r="Y17" s="1" t="n">
        <f aca="false">jaguaribe_80ml!Y18/50</f>
        <v>0</v>
      </c>
      <c r="Z17" s="1" t="n">
        <f aca="false">jaguaribe_80ml!Z18/50</f>
        <v>0</v>
      </c>
      <c r="AA17" s="1" t="n">
        <f aca="false">jaguaribe_80ml!AA18/50</f>
        <v>0</v>
      </c>
      <c r="AB17" s="1" t="n">
        <f aca="false">jaguaribe_80ml!AB18/50</f>
        <v>0</v>
      </c>
      <c r="AC17" s="1" t="n">
        <f aca="false">jaguaribe_80ml!AC18/50</f>
        <v>0</v>
      </c>
      <c r="AD17" s="1" t="n">
        <f aca="false">jaguaribe_80ml!AD18/50</f>
        <v>0.02</v>
      </c>
      <c r="AE17" s="1" t="n">
        <f aca="false">jaguaribe_80ml!AE18/50</f>
        <v>0</v>
      </c>
      <c r="AF17" s="1" t="n">
        <f aca="false">jaguaribe_80ml!AF18/50</f>
        <v>0.04</v>
      </c>
      <c r="AG17" s="1" t="n">
        <f aca="false">jaguaribe_80ml!AG18/50</f>
        <v>0.04</v>
      </c>
      <c r="AH17" s="1" t="n">
        <f aca="false">jaguaribe_80ml!AH18/50</f>
        <v>0</v>
      </c>
      <c r="AI17" s="1" t="n">
        <f aca="false">jaguaribe_80ml!AI18/50</f>
        <v>0.02</v>
      </c>
      <c r="AJ17" s="1" t="n">
        <f aca="false">jaguaribe_80ml!AJ18/50</f>
        <v>0.22</v>
      </c>
      <c r="AK17" s="1" t="n">
        <f aca="false">jaguaribe_80ml!AK18/50</f>
        <v>0</v>
      </c>
      <c r="AL17" s="1" t="n">
        <f aca="false">jaguaribe_80ml!AL18/50</f>
        <v>0.04</v>
      </c>
      <c r="AM17" s="1" t="n">
        <f aca="false">jaguaribe_80ml!AM18/50</f>
        <v>0</v>
      </c>
      <c r="AN17" s="1" t="n">
        <f aca="false">jaguaribe_80ml!AN18/50</f>
        <v>0.02</v>
      </c>
      <c r="AO17" s="1" t="n">
        <f aca="false">jaguaribe_80ml!AO18/50</f>
        <v>0</v>
      </c>
      <c r="AP17" s="1" t="n">
        <f aca="false">jaguaribe_80ml!AP18/50</f>
        <v>0</v>
      </c>
      <c r="AQ17" s="1" t="n">
        <f aca="false">jaguaribe_80ml!AQ18/50</f>
        <v>0</v>
      </c>
      <c r="AR17" s="1" t="n">
        <f aca="false">jaguaribe_80ml!AR18/50</f>
        <v>0.16</v>
      </c>
      <c r="AS17" s="1" t="n">
        <f aca="false">jaguaribe_80ml!AS18/50</f>
        <v>0.02</v>
      </c>
      <c r="AT17" s="1" t="n">
        <f aca="false">jaguaribe_80ml!AT18/50</f>
        <v>0.22</v>
      </c>
      <c r="AU17" s="1" t="n">
        <f aca="false">jaguaribe_80ml!AU18/50</f>
        <v>0</v>
      </c>
      <c r="AV17" s="1" t="n">
        <f aca="false">jaguaribe_80ml!AV18/50</f>
        <v>0</v>
      </c>
      <c r="AW17" s="1" t="n">
        <f aca="false">jaguaribe_80ml!AW18/50</f>
        <v>0</v>
      </c>
      <c r="AX17" s="1" t="n">
        <f aca="false">jaguaribe_80ml!AX18/50</f>
        <v>0.06</v>
      </c>
      <c r="AY17" s="1" t="n">
        <f aca="false">jaguaribe_80ml!AY18/50</f>
        <v>0</v>
      </c>
      <c r="AZ17" s="1" t="n">
        <f aca="false">jaguaribe_80ml!AZ18/50</f>
        <v>0</v>
      </c>
      <c r="BA17" s="1" t="n">
        <f aca="false">jaguaribe_80ml!BA18/50</f>
        <v>0</v>
      </c>
      <c r="BB17" s="1" t="n">
        <f aca="false">jaguaribe_80ml!BB18/50</f>
        <v>0</v>
      </c>
      <c r="BC17" s="1" t="n">
        <f aca="false">jaguaribe_80ml!BC18/50</f>
        <v>0.16</v>
      </c>
      <c r="BD17" s="1" t="n">
        <f aca="false">jaguaribe_80ml!BD18/50</f>
        <v>0</v>
      </c>
      <c r="BE17" s="1" t="n">
        <f aca="false">jaguaribe_80ml!BE18/50</f>
        <v>0</v>
      </c>
    </row>
    <row r="18" customFormat="false" ht="12.8" hidden="false" customHeight="false" outlineLevel="0" collapsed="false">
      <c r="A18" s="1" t="s">
        <v>32</v>
      </c>
      <c r="B18" s="16" t="s">
        <v>265</v>
      </c>
      <c r="C18" s="16" t="s">
        <v>265</v>
      </c>
      <c r="D18" s="16" t="s">
        <v>265</v>
      </c>
      <c r="E18" s="16" t="s">
        <v>265</v>
      </c>
      <c r="F18" s="16" t="s">
        <v>265</v>
      </c>
      <c r="G18" s="16" t="s">
        <v>265</v>
      </c>
      <c r="H18" s="16" t="s">
        <v>265</v>
      </c>
      <c r="I18" s="16" t="s">
        <v>265</v>
      </c>
      <c r="J18" s="16" t="s">
        <v>265</v>
      </c>
      <c r="K18" s="16" t="s">
        <v>265</v>
      </c>
      <c r="L18" s="16" t="s">
        <v>265</v>
      </c>
      <c r="M18" s="16" t="s">
        <v>265</v>
      </c>
      <c r="N18" s="16" t="s">
        <v>265</v>
      </c>
      <c r="O18" s="16" t="s">
        <v>265</v>
      </c>
      <c r="P18" s="16" t="s">
        <v>265</v>
      </c>
      <c r="Q18" s="16" t="s">
        <v>265</v>
      </c>
      <c r="R18" s="16" t="s">
        <v>265</v>
      </c>
      <c r="S18" s="16" t="s">
        <v>265</v>
      </c>
      <c r="T18" s="16" t="s">
        <v>265</v>
      </c>
      <c r="U18" s="16" t="s">
        <v>265</v>
      </c>
      <c r="V18" s="16" t="s">
        <v>265</v>
      </c>
      <c r="W18" s="16" t="s">
        <v>265</v>
      </c>
      <c r="X18" s="16" t="s">
        <v>265</v>
      </c>
      <c r="Y18" s="16" t="s">
        <v>265</v>
      </c>
      <c r="Z18" s="16" t="s">
        <v>265</v>
      </c>
      <c r="AA18" s="16" t="s">
        <v>265</v>
      </c>
      <c r="AB18" s="16" t="s">
        <v>265</v>
      </c>
      <c r="AC18" s="16" t="s">
        <v>265</v>
      </c>
      <c r="AD18" s="16" t="s">
        <v>265</v>
      </c>
      <c r="AE18" s="16" t="s">
        <v>265</v>
      </c>
      <c r="AF18" s="16" t="s">
        <v>265</v>
      </c>
      <c r="AG18" s="16" t="s">
        <v>265</v>
      </c>
      <c r="AH18" s="16" t="s">
        <v>265</v>
      </c>
      <c r="AI18" s="16" t="s">
        <v>265</v>
      </c>
      <c r="AJ18" s="16" t="s">
        <v>265</v>
      </c>
      <c r="AK18" s="16" t="s">
        <v>265</v>
      </c>
      <c r="AL18" s="16" t="s">
        <v>265</v>
      </c>
      <c r="AM18" s="16" t="s">
        <v>265</v>
      </c>
      <c r="AN18" s="16" t="s">
        <v>265</v>
      </c>
      <c r="AO18" s="16" t="s">
        <v>265</v>
      </c>
      <c r="AP18" s="16" t="s">
        <v>265</v>
      </c>
      <c r="AQ18" s="16" t="s">
        <v>265</v>
      </c>
      <c r="AR18" s="16" t="s">
        <v>265</v>
      </c>
      <c r="AS18" s="16" t="s">
        <v>265</v>
      </c>
      <c r="AT18" s="16" t="s">
        <v>265</v>
      </c>
      <c r="AU18" s="16" t="s">
        <v>265</v>
      </c>
      <c r="AV18" s="16" t="s">
        <v>265</v>
      </c>
      <c r="AW18" s="16" t="s">
        <v>265</v>
      </c>
      <c r="AX18" s="16" t="s">
        <v>265</v>
      </c>
      <c r="AY18" s="16" t="s">
        <v>265</v>
      </c>
      <c r="AZ18" s="16" t="s">
        <v>265</v>
      </c>
      <c r="BA18" s="16" t="s">
        <v>265</v>
      </c>
      <c r="BB18" s="16" t="s">
        <v>265</v>
      </c>
      <c r="BC18" s="16" t="s">
        <v>265</v>
      </c>
      <c r="BD18" s="16" t="s">
        <v>265</v>
      </c>
      <c r="BE18" s="16" t="s">
        <v>265</v>
      </c>
    </row>
    <row r="19" customFormat="false" ht="12.8" hidden="false" customHeight="false" outlineLevel="0" collapsed="false">
      <c r="A19" s="1" t="s">
        <v>33</v>
      </c>
      <c r="B19" s="16" t="s">
        <v>265</v>
      </c>
      <c r="C19" s="16" t="s">
        <v>265</v>
      </c>
      <c r="D19" s="16" t="s">
        <v>265</v>
      </c>
      <c r="E19" s="16" t="s">
        <v>265</v>
      </c>
      <c r="F19" s="16" t="s">
        <v>265</v>
      </c>
      <c r="G19" s="16" t="s">
        <v>265</v>
      </c>
      <c r="H19" s="16" t="s">
        <v>265</v>
      </c>
      <c r="I19" s="16" t="s">
        <v>265</v>
      </c>
      <c r="J19" s="16" t="s">
        <v>265</v>
      </c>
      <c r="K19" s="16" t="s">
        <v>265</v>
      </c>
      <c r="L19" s="16" t="s">
        <v>265</v>
      </c>
      <c r="M19" s="16" t="s">
        <v>265</v>
      </c>
      <c r="N19" s="16" t="s">
        <v>265</v>
      </c>
      <c r="O19" s="16" t="s">
        <v>265</v>
      </c>
      <c r="P19" s="16" t="s">
        <v>265</v>
      </c>
      <c r="Q19" s="16" t="s">
        <v>265</v>
      </c>
      <c r="R19" s="16" t="s">
        <v>265</v>
      </c>
      <c r="S19" s="16" t="s">
        <v>265</v>
      </c>
      <c r="T19" s="16" t="s">
        <v>265</v>
      </c>
      <c r="U19" s="16" t="s">
        <v>265</v>
      </c>
      <c r="V19" s="16" t="s">
        <v>265</v>
      </c>
      <c r="W19" s="16" t="s">
        <v>265</v>
      </c>
      <c r="X19" s="16" t="s">
        <v>265</v>
      </c>
      <c r="Y19" s="16" t="s">
        <v>265</v>
      </c>
      <c r="Z19" s="16" t="s">
        <v>265</v>
      </c>
      <c r="AA19" s="16" t="s">
        <v>265</v>
      </c>
      <c r="AB19" s="16" t="s">
        <v>265</v>
      </c>
      <c r="AC19" s="16" t="s">
        <v>265</v>
      </c>
      <c r="AD19" s="16" t="s">
        <v>265</v>
      </c>
      <c r="AE19" s="16" t="s">
        <v>265</v>
      </c>
      <c r="AF19" s="16" t="s">
        <v>265</v>
      </c>
      <c r="AG19" s="16" t="s">
        <v>265</v>
      </c>
      <c r="AH19" s="16" t="s">
        <v>265</v>
      </c>
      <c r="AI19" s="16" t="s">
        <v>265</v>
      </c>
      <c r="AJ19" s="16" t="s">
        <v>265</v>
      </c>
      <c r="AK19" s="16" t="s">
        <v>265</v>
      </c>
      <c r="AL19" s="16" t="s">
        <v>265</v>
      </c>
      <c r="AM19" s="16" t="s">
        <v>265</v>
      </c>
      <c r="AN19" s="16" t="s">
        <v>265</v>
      </c>
      <c r="AO19" s="16" t="s">
        <v>265</v>
      </c>
      <c r="AP19" s="16" t="s">
        <v>265</v>
      </c>
      <c r="AQ19" s="16" t="s">
        <v>265</v>
      </c>
      <c r="AR19" s="16" t="s">
        <v>265</v>
      </c>
      <c r="AS19" s="16" t="s">
        <v>265</v>
      </c>
      <c r="AT19" s="16" t="s">
        <v>265</v>
      </c>
      <c r="AU19" s="16" t="s">
        <v>265</v>
      </c>
      <c r="AV19" s="16" t="s">
        <v>265</v>
      </c>
      <c r="AW19" s="16" t="s">
        <v>265</v>
      </c>
      <c r="AX19" s="16" t="s">
        <v>265</v>
      </c>
      <c r="AY19" s="16" t="s">
        <v>265</v>
      </c>
      <c r="AZ19" s="16" t="s">
        <v>265</v>
      </c>
      <c r="BA19" s="16" t="s">
        <v>265</v>
      </c>
      <c r="BB19" s="16" t="s">
        <v>265</v>
      </c>
      <c r="BC19" s="16" t="s">
        <v>265</v>
      </c>
      <c r="BD19" s="16" t="s">
        <v>265</v>
      </c>
      <c r="BE19" s="16" t="s">
        <v>265</v>
      </c>
    </row>
    <row r="20" customFormat="false" ht="12.8" hidden="false" customHeight="false" outlineLevel="0" collapsed="false">
      <c r="A20" s="1" t="s">
        <v>35</v>
      </c>
      <c r="B20" s="1" t="n">
        <f aca="false">jaguaribe_80ml!B21/50</f>
        <v>0.06</v>
      </c>
      <c r="C20" s="1" t="n">
        <f aca="false">jaguaribe_80ml!C21/50</f>
        <v>0</v>
      </c>
      <c r="D20" s="1" t="n">
        <f aca="false">jaguaribe_80ml!D21/50</f>
        <v>0.54</v>
      </c>
      <c r="E20" s="1" t="n">
        <f aca="false">jaguaribe_80ml!E21/50</f>
        <v>0</v>
      </c>
      <c r="F20" s="1" t="n">
        <f aca="false">jaguaribe_80ml!F21/50</f>
        <v>0.26</v>
      </c>
      <c r="G20" s="1" t="n">
        <f aca="false">jaguaribe_80ml!G21/50</f>
        <v>0</v>
      </c>
      <c r="H20" s="1" t="n">
        <f aca="false">jaguaribe_80ml!H21/50</f>
        <v>0</v>
      </c>
      <c r="I20" s="1" t="n">
        <f aca="false">jaguaribe_80ml!I21/50</f>
        <v>0.76</v>
      </c>
      <c r="J20" s="1" t="n">
        <f aca="false">jaguaribe_80ml!J21/50</f>
        <v>0</v>
      </c>
      <c r="K20" s="1" t="n">
        <f aca="false">jaguaribe_80ml!K21/50</f>
        <v>0</v>
      </c>
      <c r="L20" s="1" t="n">
        <f aca="false">jaguaribe_80ml!L21/50</f>
        <v>0</v>
      </c>
      <c r="M20" s="1" t="n">
        <f aca="false">jaguaribe_80ml!M21/50</f>
        <v>0.36</v>
      </c>
      <c r="N20" s="1" t="n">
        <f aca="false">jaguaribe_80ml!N21/50</f>
        <v>0.06</v>
      </c>
      <c r="O20" s="1" t="n">
        <f aca="false">jaguaribe_80ml!O21/50</f>
        <v>0.3</v>
      </c>
      <c r="P20" s="1" t="n">
        <f aca="false">jaguaribe_80ml!P21/50</f>
        <v>0</v>
      </c>
      <c r="Q20" s="1" t="n">
        <f aca="false">jaguaribe_80ml!Q21/50</f>
        <v>0.08</v>
      </c>
      <c r="R20" s="1" t="n">
        <f aca="false">jaguaribe_80ml!R21/50</f>
        <v>0</v>
      </c>
      <c r="S20" s="1" t="n">
        <f aca="false">jaguaribe_80ml!S21/50</f>
        <v>0.02</v>
      </c>
      <c r="T20" s="1" t="n">
        <f aca="false">jaguaribe_80ml!T21/50</f>
        <v>0.22</v>
      </c>
      <c r="U20" s="1" t="n">
        <f aca="false">jaguaribe_80ml!U21/50</f>
        <v>0</v>
      </c>
      <c r="V20" s="1" t="n">
        <f aca="false">jaguaribe_80ml!V21/50</f>
        <v>0</v>
      </c>
      <c r="W20" s="1" t="n">
        <f aca="false">jaguaribe_80ml!W21/50</f>
        <v>0</v>
      </c>
      <c r="X20" s="1" t="n">
        <f aca="false">jaguaribe_80ml!X21/50</f>
        <v>0</v>
      </c>
      <c r="Y20" s="1" t="n">
        <f aca="false">jaguaribe_80ml!Y21/50</f>
        <v>0</v>
      </c>
      <c r="Z20" s="1" t="n">
        <f aca="false">jaguaribe_80ml!Z21/50</f>
        <v>0</v>
      </c>
      <c r="AA20" s="1" t="n">
        <f aca="false">jaguaribe_80ml!AA21/50</f>
        <v>0.14</v>
      </c>
      <c r="AB20" s="1" t="n">
        <f aca="false">jaguaribe_80ml!AB21/50</f>
        <v>0</v>
      </c>
      <c r="AC20" s="1" t="n">
        <f aca="false">jaguaribe_80ml!AC21/50</f>
        <v>0</v>
      </c>
      <c r="AD20" s="1" t="n">
        <f aca="false">jaguaribe_80ml!AD21/50</f>
        <v>0.4</v>
      </c>
      <c r="AE20" s="1" t="n">
        <f aca="false">jaguaribe_80ml!AE21/50</f>
        <v>0.02</v>
      </c>
      <c r="AF20" s="1" t="n">
        <f aca="false">jaguaribe_80ml!AF21/50</f>
        <v>1.16</v>
      </c>
      <c r="AG20" s="1" t="n">
        <f aca="false">jaguaribe_80ml!AG21/50</f>
        <v>0</v>
      </c>
      <c r="AH20" s="1" t="n">
        <f aca="false">jaguaribe_80ml!AH21/50</f>
        <v>0</v>
      </c>
      <c r="AI20" s="1" t="n">
        <f aca="false">jaguaribe_80ml!AI21/50</f>
        <v>0.02</v>
      </c>
      <c r="AJ20" s="1" t="n">
        <f aca="false">jaguaribe_80ml!AJ21/50</f>
        <v>0.02</v>
      </c>
      <c r="AK20" s="1" t="n">
        <f aca="false">jaguaribe_80ml!AK21/50</f>
        <v>0</v>
      </c>
      <c r="AL20" s="1" t="n">
        <f aca="false">jaguaribe_80ml!AL21/50</f>
        <v>0</v>
      </c>
      <c r="AM20" s="1" t="n">
        <f aca="false">jaguaribe_80ml!AM21/50</f>
        <v>0</v>
      </c>
      <c r="AN20" s="1" t="n">
        <f aca="false">jaguaribe_80ml!AN21/50</f>
        <v>0</v>
      </c>
      <c r="AO20" s="1" t="n">
        <f aca="false">jaguaribe_80ml!AO21/50</f>
        <v>0</v>
      </c>
      <c r="AP20" s="1" t="n">
        <f aca="false">jaguaribe_80ml!AP21/50</f>
        <v>0</v>
      </c>
      <c r="AQ20" s="1" t="n">
        <f aca="false">jaguaribe_80ml!AQ21/50</f>
        <v>0</v>
      </c>
      <c r="AR20" s="1" t="n">
        <f aca="false">jaguaribe_80ml!AR21/50</f>
        <v>0.48</v>
      </c>
      <c r="AS20" s="1" t="n">
        <f aca="false">jaguaribe_80ml!AS21/50</f>
        <v>0</v>
      </c>
      <c r="AT20" s="1" t="n">
        <f aca="false">jaguaribe_80ml!AT21/50</f>
        <v>43.42</v>
      </c>
      <c r="AU20" s="1" t="n">
        <f aca="false">jaguaribe_80ml!AU21/50</f>
        <v>0.14</v>
      </c>
      <c r="AV20" s="1" t="n">
        <f aca="false">jaguaribe_80ml!AV21/50</f>
        <v>0</v>
      </c>
      <c r="AW20" s="1" t="n">
        <f aca="false">jaguaribe_80ml!AW21/50</f>
        <v>0</v>
      </c>
      <c r="AX20" s="1" t="n">
        <f aca="false">jaguaribe_80ml!AX21/50</f>
        <v>0.1</v>
      </c>
      <c r="AY20" s="1" t="n">
        <f aca="false">jaguaribe_80ml!AY21/50</f>
        <v>0</v>
      </c>
      <c r="AZ20" s="1" t="n">
        <f aca="false">jaguaribe_80ml!AZ21/50</f>
        <v>0</v>
      </c>
      <c r="BA20" s="1" t="n">
        <f aca="false">jaguaribe_80ml!BA21/50</f>
        <v>0</v>
      </c>
      <c r="BB20" s="1" t="n">
        <f aca="false">jaguaribe_80ml!BB21/50</f>
        <v>0</v>
      </c>
      <c r="BC20" s="1" t="n">
        <f aca="false">jaguaribe_80ml!BC21/50</f>
        <v>0.04</v>
      </c>
      <c r="BD20" s="1" t="n">
        <f aca="false">jaguaribe_80ml!BD21/50</f>
        <v>0</v>
      </c>
      <c r="BE20" s="1" t="n">
        <f aca="false">jaguaribe_80ml!BE21/50</f>
        <v>0</v>
      </c>
    </row>
    <row r="21" customFormat="false" ht="12.8" hidden="false" customHeight="false" outlineLevel="0" collapsed="false">
      <c r="A21" s="1" t="s">
        <v>36</v>
      </c>
      <c r="B21" s="16" t="s">
        <v>265</v>
      </c>
      <c r="C21" s="16" t="s">
        <v>265</v>
      </c>
      <c r="D21" s="16" t="s">
        <v>265</v>
      </c>
      <c r="E21" s="16" t="s">
        <v>265</v>
      </c>
      <c r="F21" s="16" t="s">
        <v>265</v>
      </c>
      <c r="G21" s="16" t="s">
        <v>265</v>
      </c>
      <c r="H21" s="16" t="s">
        <v>265</v>
      </c>
      <c r="I21" s="16" t="s">
        <v>265</v>
      </c>
      <c r="J21" s="16" t="s">
        <v>265</v>
      </c>
      <c r="K21" s="16" t="s">
        <v>265</v>
      </c>
      <c r="L21" s="16" t="s">
        <v>265</v>
      </c>
      <c r="M21" s="16" t="s">
        <v>265</v>
      </c>
      <c r="N21" s="16" t="s">
        <v>265</v>
      </c>
      <c r="O21" s="16" t="s">
        <v>265</v>
      </c>
      <c r="P21" s="16" t="s">
        <v>265</v>
      </c>
      <c r="Q21" s="16" t="s">
        <v>265</v>
      </c>
      <c r="R21" s="16" t="s">
        <v>265</v>
      </c>
      <c r="S21" s="16" t="s">
        <v>265</v>
      </c>
      <c r="T21" s="16" t="s">
        <v>265</v>
      </c>
      <c r="U21" s="16" t="s">
        <v>265</v>
      </c>
      <c r="V21" s="16" t="s">
        <v>265</v>
      </c>
      <c r="W21" s="16" t="s">
        <v>265</v>
      </c>
      <c r="X21" s="16" t="s">
        <v>265</v>
      </c>
      <c r="Y21" s="16" t="s">
        <v>265</v>
      </c>
      <c r="Z21" s="16" t="s">
        <v>265</v>
      </c>
      <c r="AA21" s="16" t="s">
        <v>265</v>
      </c>
      <c r="AB21" s="16" t="s">
        <v>265</v>
      </c>
      <c r="AC21" s="16" t="s">
        <v>265</v>
      </c>
      <c r="AD21" s="16" t="s">
        <v>265</v>
      </c>
      <c r="AE21" s="16" t="s">
        <v>265</v>
      </c>
      <c r="AF21" s="16" t="s">
        <v>265</v>
      </c>
      <c r="AG21" s="16" t="s">
        <v>265</v>
      </c>
      <c r="AH21" s="16" t="s">
        <v>265</v>
      </c>
      <c r="AI21" s="16" t="s">
        <v>265</v>
      </c>
      <c r="AJ21" s="16" t="s">
        <v>265</v>
      </c>
      <c r="AK21" s="16" t="s">
        <v>265</v>
      </c>
      <c r="AL21" s="16" t="s">
        <v>265</v>
      </c>
      <c r="AM21" s="16" t="s">
        <v>265</v>
      </c>
      <c r="AN21" s="16" t="s">
        <v>265</v>
      </c>
      <c r="AO21" s="16" t="s">
        <v>265</v>
      </c>
      <c r="AP21" s="16" t="s">
        <v>265</v>
      </c>
      <c r="AQ21" s="16" t="s">
        <v>265</v>
      </c>
      <c r="AR21" s="16" t="s">
        <v>265</v>
      </c>
      <c r="AS21" s="16" t="s">
        <v>265</v>
      </c>
      <c r="AT21" s="16" t="s">
        <v>265</v>
      </c>
      <c r="AU21" s="16" t="s">
        <v>265</v>
      </c>
      <c r="AV21" s="16" t="s">
        <v>265</v>
      </c>
      <c r="AW21" s="16" t="s">
        <v>265</v>
      </c>
      <c r="AX21" s="16" t="s">
        <v>265</v>
      </c>
      <c r="AY21" s="16" t="s">
        <v>265</v>
      </c>
      <c r="AZ21" s="16" t="s">
        <v>265</v>
      </c>
      <c r="BA21" s="16" t="s">
        <v>265</v>
      </c>
      <c r="BB21" s="16" t="s">
        <v>265</v>
      </c>
      <c r="BC21" s="16" t="s">
        <v>265</v>
      </c>
      <c r="BD21" s="16" t="s">
        <v>265</v>
      </c>
      <c r="BE21" s="16" t="s">
        <v>265</v>
      </c>
    </row>
    <row r="22" customFormat="false" ht="12.8" hidden="false" customHeight="false" outlineLevel="0" collapsed="false">
      <c r="A22" s="1" t="s">
        <v>37</v>
      </c>
      <c r="B22" s="16" t="s">
        <v>265</v>
      </c>
      <c r="C22" s="16" t="s">
        <v>265</v>
      </c>
      <c r="D22" s="16" t="s">
        <v>265</v>
      </c>
      <c r="E22" s="16" t="s">
        <v>265</v>
      </c>
      <c r="F22" s="16" t="s">
        <v>265</v>
      </c>
      <c r="G22" s="16" t="s">
        <v>265</v>
      </c>
      <c r="H22" s="16" t="s">
        <v>265</v>
      </c>
      <c r="I22" s="16" t="s">
        <v>265</v>
      </c>
      <c r="J22" s="16" t="s">
        <v>265</v>
      </c>
      <c r="K22" s="16" t="s">
        <v>265</v>
      </c>
      <c r="L22" s="16" t="s">
        <v>265</v>
      </c>
      <c r="M22" s="16" t="s">
        <v>265</v>
      </c>
      <c r="N22" s="16" t="s">
        <v>265</v>
      </c>
      <c r="O22" s="16" t="s">
        <v>265</v>
      </c>
      <c r="P22" s="16" t="s">
        <v>265</v>
      </c>
      <c r="Q22" s="16" t="s">
        <v>265</v>
      </c>
      <c r="R22" s="16" t="s">
        <v>265</v>
      </c>
      <c r="S22" s="16" t="s">
        <v>265</v>
      </c>
      <c r="T22" s="16" t="s">
        <v>265</v>
      </c>
      <c r="U22" s="16" t="s">
        <v>265</v>
      </c>
      <c r="V22" s="16" t="s">
        <v>265</v>
      </c>
      <c r="W22" s="16" t="s">
        <v>265</v>
      </c>
      <c r="X22" s="16" t="s">
        <v>265</v>
      </c>
      <c r="Y22" s="16" t="s">
        <v>265</v>
      </c>
      <c r="Z22" s="16" t="s">
        <v>265</v>
      </c>
      <c r="AA22" s="16" t="s">
        <v>265</v>
      </c>
      <c r="AB22" s="16" t="s">
        <v>265</v>
      </c>
      <c r="AC22" s="16" t="s">
        <v>265</v>
      </c>
      <c r="AD22" s="16" t="s">
        <v>265</v>
      </c>
      <c r="AE22" s="16" t="s">
        <v>265</v>
      </c>
      <c r="AF22" s="16" t="s">
        <v>265</v>
      </c>
      <c r="AG22" s="16" t="s">
        <v>265</v>
      </c>
      <c r="AH22" s="16" t="s">
        <v>265</v>
      </c>
      <c r="AI22" s="16" t="s">
        <v>265</v>
      </c>
      <c r="AJ22" s="16" t="s">
        <v>265</v>
      </c>
      <c r="AK22" s="16" t="s">
        <v>265</v>
      </c>
      <c r="AL22" s="16" t="s">
        <v>265</v>
      </c>
      <c r="AM22" s="16" t="s">
        <v>265</v>
      </c>
      <c r="AN22" s="16" t="s">
        <v>265</v>
      </c>
      <c r="AO22" s="16" t="s">
        <v>265</v>
      </c>
      <c r="AP22" s="16" t="s">
        <v>265</v>
      </c>
      <c r="AQ22" s="16" t="s">
        <v>265</v>
      </c>
      <c r="AR22" s="16" t="s">
        <v>265</v>
      </c>
      <c r="AS22" s="16" t="s">
        <v>265</v>
      </c>
      <c r="AT22" s="16" t="s">
        <v>265</v>
      </c>
      <c r="AU22" s="16" t="s">
        <v>265</v>
      </c>
      <c r="AV22" s="16" t="s">
        <v>265</v>
      </c>
      <c r="AW22" s="16" t="s">
        <v>265</v>
      </c>
      <c r="AX22" s="16" t="s">
        <v>265</v>
      </c>
      <c r="AY22" s="16" t="s">
        <v>265</v>
      </c>
      <c r="AZ22" s="16" t="s">
        <v>265</v>
      </c>
      <c r="BA22" s="16" t="s">
        <v>265</v>
      </c>
      <c r="BB22" s="16" t="s">
        <v>265</v>
      </c>
      <c r="BC22" s="16" t="s">
        <v>265</v>
      </c>
      <c r="BD22" s="16" t="s">
        <v>265</v>
      </c>
      <c r="BE22" s="16" t="s">
        <v>265</v>
      </c>
    </row>
    <row r="23" customFormat="false" ht="12.8" hidden="false" customHeight="false" outlineLevel="0" collapsed="false">
      <c r="A23" s="1" t="s">
        <v>39</v>
      </c>
      <c r="B23" s="1" t="n">
        <f aca="false">jaguaribe_80ml!B24/50</f>
        <v>0</v>
      </c>
      <c r="C23" s="1" t="n">
        <f aca="false">jaguaribe_80ml!C24/50</f>
        <v>0</v>
      </c>
      <c r="D23" s="1" t="n">
        <f aca="false">jaguaribe_80ml!D24/50</f>
        <v>0.24</v>
      </c>
      <c r="E23" s="1" t="n">
        <f aca="false">jaguaribe_80ml!E24/50</f>
        <v>0</v>
      </c>
      <c r="F23" s="1" t="n">
        <f aca="false">jaguaribe_80ml!F24/50</f>
        <v>11.82</v>
      </c>
      <c r="G23" s="1" t="n">
        <f aca="false">jaguaribe_80ml!G24/50</f>
        <v>2.1</v>
      </c>
      <c r="H23" s="1" t="n">
        <f aca="false">jaguaribe_80ml!H24/50</f>
        <v>0</v>
      </c>
      <c r="I23" s="1" t="n">
        <f aca="false">jaguaribe_80ml!I24/50</f>
        <v>0.78</v>
      </c>
      <c r="J23" s="1" t="n">
        <f aca="false">jaguaribe_80ml!J24/50</f>
        <v>0</v>
      </c>
      <c r="K23" s="1" t="n">
        <f aca="false">jaguaribe_80ml!K24/50</f>
        <v>0.24</v>
      </c>
      <c r="L23" s="1" t="n">
        <f aca="false">jaguaribe_80ml!L24/50</f>
        <v>0</v>
      </c>
      <c r="M23" s="1" t="n">
        <f aca="false">jaguaribe_80ml!M24/50</f>
        <v>10.74</v>
      </c>
      <c r="N23" s="1" t="n">
        <f aca="false">jaguaribe_80ml!N24/50</f>
        <v>0.06</v>
      </c>
      <c r="O23" s="1" t="n">
        <f aca="false">jaguaribe_80ml!O24/50</f>
        <v>0.54</v>
      </c>
      <c r="P23" s="1" t="n">
        <f aca="false">jaguaribe_80ml!P24/50</f>
        <v>0</v>
      </c>
      <c r="Q23" s="1" t="n">
        <f aca="false">jaguaribe_80ml!Q24/50</f>
        <v>0.06</v>
      </c>
      <c r="R23" s="1" t="n">
        <f aca="false">jaguaribe_80ml!R24/50</f>
        <v>0</v>
      </c>
      <c r="S23" s="1" t="n">
        <f aca="false">jaguaribe_80ml!S24/50</f>
        <v>0.08</v>
      </c>
      <c r="T23" s="1" t="n">
        <f aca="false">jaguaribe_80ml!T24/50</f>
        <v>0.12</v>
      </c>
      <c r="U23" s="1" t="n">
        <f aca="false">jaguaribe_80ml!U24/50</f>
        <v>1.56</v>
      </c>
      <c r="V23" s="1" t="n">
        <f aca="false">jaguaribe_80ml!V24/50</f>
        <v>0.18</v>
      </c>
      <c r="W23" s="1" t="n">
        <f aca="false">jaguaribe_80ml!W24/50</f>
        <v>0</v>
      </c>
      <c r="X23" s="1" t="n">
        <f aca="false">jaguaribe_80ml!X24/50</f>
        <v>0</v>
      </c>
      <c r="Y23" s="1" t="n">
        <f aca="false">jaguaribe_80ml!Y24/50</f>
        <v>0</v>
      </c>
      <c r="Z23" s="1" t="n">
        <f aca="false">jaguaribe_80ml!Z24/50</f>
        <v>0</v>
      </c>
      <c r="AA23" s="1" t="n">
        <f aca="false">jaguaribe_80ml!AA24/50</f>
        <v>0.18</v>
      </c>
      <c r="AB23" s="1" t="n">
        <f aca="false">jaguaribe_80ml!AB24/50</f>
        <v>0</v>
      </c>
      <c r="AC23" s="1" t="n">
        <f aca="false">jaguaribe_80ml!AC24/50</f>
        <v>0</v>
      </c>
      <c r="AD23" s="1" t="n">
        <f aca="false">jaguaribe_80ml!AD24/50</f>
        <v>0</v>
      </c>
      <c r="AE23" s="1" t="n">
        <f aca="false">jaguaribe_80ml!AE24/50</f>
        <v>0.16</v>
      </c>
      <c r="AF23" s="1" t="n">
        <f aca="false">jaguaribe_80ml!AF24/50</f>
        <v>0</v>
      </c>
      <c r="AG23" s="1" t="n">
        <f aca="false">jaguaribe_80ml!AG24/50</f>
        <v>0</v>
      </c>
      <c r="AH23" s="1" t="n">
        <f aca="false">jaguaribe_80ml!AH24/50</f>
        <v>0</v>
      </c>
      <c r="AI23" s="1" t="n">
        <f aca="false">jaguaribe_80ml!AI24/50</f>
        <v>0</v>
      </c>
      <c r="AJ23" s="1" t="n">
        <f aca="false">jaguaribe_80ml!AJ24/50</f>
        <v>0.12</v>
      </c>
      <c r="AK23" s="1" t="n">
        <f aca="false">jaguaribe_80ml!AK24/50</f>
        <v>0</v>
      </c>
      <c r="AL23" s="1" t="n">
        <f aca="false">jaguaribe_80ml!AL24/50</f>
        <v>0</v>
      </c>
      <c r="AM23" s="1" t="n">
        <f aca="false">jaguaribe_80ml!AM24/50</f>
        <v>0</v>
      </c>
      <c r="AN23" s="1" t="n">
        <f aca="false">jaguaribe_80ml!AN24/50</f>
        <v>0.1</v>
      </c>
      <c r="AO23" s="1" t="n">
        <f aca="false">jaguaribe_80ml!AO24/50</f>
        <v>0</v>
      </c>
      <c r="AP23" s="1" t="n">
        <f aca="false">jaguaribe_80ml!AP24/50</f>
        <v>0</v>
      </c>
      <c r="AQ23" s="1" t="n">
        <f aca="false">jaguaribe_80ml!AQ24/50</f>
        <v>0.04</v>
      </c>
      <c r="AR23" s="1" t="n">
        <f aca="false">jaguaribe_80ml!AR24/50</f>
        <v>0</v>
      </c>
      <c r="AS23" s="1" t="n">
        <f aca="false">jaguaribe_80ml!AS24/50</f>
        <v>0.14</v>
      </c>
      <c r="AT23" s="1" t="n">
        <f aca="false">jaguaribe_80ml!AT24/50</f>
        <v>56.28</v>
      </c>
      <c r="AU23" s="1" t="n">
        <f aca="false">jaguaribe_80ml!AU24/50</f>
        <v>1.68</v>
      </c>
      <c r="AV23" s="1" t="n">
        <f aca="false">jaguaribe_80ml!AV24/50</f>
        <v>0</v>
      </c>
      <c r="AW23" s="1" t="n">
        <f aca="false">jaguaribe_80ml!AW24/50</f>
        <v>0</v>
      </c>
      <c r="AX23" s="1" t="n">
        <f aca="false">jaguaribe_80ml!AX24/50</f>
        <v>0</v>
      </c>
      <c r="AY23" s="1" t="n">
        <f aca="false">jaguaribe_80ml!AY24/50</f>
        <v>0</v>
      </c>
      <c r="AZ23" s="1" t="n">
        <f aca="false">jaguaribe_80ml!AZ24/50</f>
        <v>0</v>
      </c>
      <c r="BA23" s="1" t="n">
        <f aca="false">jaguaribe_80ml!BA24/50</f>
        <v>0</v>
      </c>
      <c r="BB23" s="1" t="n">
        <f aca="false">jaguaribe_80ml!BB24/50</f>
        <v>1.62</v>
      </c>
      <c r="BC23" s="1" t="n">
        <f aca="false">jaguaribe_80ml!BC24/50</f>
        <v>0</v>
      </c>
      <c r="BD23" s="1" t="n">
        <f aca="false">jaguaribe_80ml!BD24/50</f>
        <v>0</v>
      </c>
      <c r="BE23" s="1" t="n">
        <f aca="false">jaguaribe_80ml!BE24/50</f>
        <v>0</v>
      </c>
    </row>
    <row r="24" customFormat="false" ht="12.8" hidden="false" customHeight="false" outlineLevel="0" collapsed="false">
      <c r="A24" s="1" t="s">
        <v>40</v>
      </c>
      <c r="B24" s="16" t="s">
        <v>265</v>
      </c>
      <c r="C24" s="16" t="s">
        <v>265</v>
      </c>
      <c r="D24" s="16" t="s">
        <v>265</v>
      </c>
      <c r="E24" s="16" t="s">
        <v>265</v>
      </c>
      <c r="F24" s="16" t="s">
        <v>265</v>
      </c>
      <c r="G24" s="16" t="s">
        <v>265</v>
      </c>
      <c r="H24" s="16" t="s">
        <v>265</v>
      </c>
      <c r="I24" s="16" t="s">
        <v>265</v>
      </c>
      <c r="J24" s="16" t="s">
        <v>265</v>
      </c>
      <c r="K24" s="16" t="s">
        <v>265</v>
      </c>
      <c r="L24" s="16" t="s">
        <v>265</v>
      </c>
      <c r="M24" s="16" t="s">
        <v>265</v>
      </c>
      <c r="N24" s="16" t="s">
        <v>265</v>
      </c>
      <c r="O24" s="16" t="s">
        <v>265</v>
      </c>
      <c r="P24" s="16" t="s">
        <v>265</v>
      </c>
      <c r="Q24" s="16" t="s">
        <v>265</v>
      </c>
      <c r="R24" s="16" t="s">
        <v>265</v>
      </c>
      <c r="S24" s="16" t="s">
        <v>265</v>
      </c>
      <c r="T24" s="16" t="s">
        <v>265</v>
      </c>
      <c r="U24" s="16" t="s">
        <v>265</v>
      </c>
      <c r="V24" s="16" t="s">
        <v>265</v>
      </c>
      <c r="W24" s="16" t="s">
        <v>265</v>
      </c>
      <c r="X24" s="16" t="s">
        <v>265</v>
      </c>
      <c r="Y24" s="16" t="s">
        <v>265</v>
      </c>
      <c r="Z24" s="16" t="s">
        <v>265</v>
      </c>
      <c r="AA24" s="16" t="s">
        <v>265</v>
      </c>
      <c r="AB24" s="16" t="s">
        <v>265</v>
      </c>
      <c r="AC24" s="16" t="s">
        <v>265</v>
      </c>
      <c r="AD24" s="16" t="s">
        <v>265</v>
      </c>
      <c r="AE24" s="16" t="s">
        <v>265</v>
      </c>
      <c r="AF24" s="16" t="s">
        <v>265</v>
      </c>
      <c r="AG24" s="16" t="s">
        <v>265</v>
      </c>
      <c r="AH24" s="16" t="s">
        <v>265</v>
      </c>
      <c r="AI24" s="16" t="s">
        <v>265</v>
      </c>
      <c r="AJ24" s="16" t="s">
        <v>265</v>
      </c>
      <c r="AK24" s="16" t="s">
        <v>265</v>
      </c>
      <c r="AL24" s="16" t="s">
        <v>265</v>
      </c>
      <c r="AM24" s="16" t="s">
        <v>265</v>
      </c>
      <c r="AN24" s="16" t="s">
        <v>265</v>
      </c>
      <c r="AO24" s="16" t="s">
        <v>265</v>
      </c>
      <c r="AP24" s="16" t="s">
        <v>265</v>
      </c>
      <c r="AQ24" s="16" t="s">
        <v>265</v>
      </c>
      <c r="AR24" s="16" t="s">
        <v>265</v>
      </c>
      <c r="AS24" s="16" t="s">
        <v>265</v>
      </c>
      <c r="AT24" s="16" t="s">
        <v>265</v>
      </c>
      <c r="AU24" s="16" t="s">
        <v>265</v>
      </c>
      <c r="AV24" s="16" t="s">
        <v>265</v>
      </c>
      <c r="AW24" s="16" t="s">
        <v>265</v>
      </c>
      <c r="AX24" s="16" t="s">
        <v>265</v>
      </c>
      <c r="AY24" s="16" t="s">
        <v>265</v>
      </c>
      <c r="AZ24" s="16" t="s">
        <v>265</v>
      </c>
      <c r="BA24" s="16" t="s">
        <v>265</v>
      </c>
      <c r="BB24" s="16" t="s">
        <v>265</v>
      </c>
      <c r="BC24" s="16" t="s">
        <v>265</v>
      </c>
      <c r="BD24" s="16" t="s">
        <v>265</v>
      </c>
      <c r="BE24" s="16" t="s">
        <v>265</v>
      </c>
    </row>
    <row r="25" customFormat="false" ht="12.8" hidden="false" customHeight="false" outlineLevel="0" collapsed="false">
      <c r="A25" s="1" t="s">
        <v>41</v>
      </c>
      <c r="B25" s="16" t="s">
        <v>265</v>
      </c>
      <c r="C25" s="16" t="s">
        <v>265</v>
      </c>
      <c r="D25" s="16" t="s">
        <v>265</v>
      </c>
      <c r="E25" s="16" t="s">
        <v>265</v>
      </c>
      <c r="F25" s="16" t="s">
        <v>265</v>
      </c>
      <c r="G25" s="16" t="s">
        <v>265</v>
      </c>
      <c r="H25" s="16" t="s">
        <v>265</v>
      </c>
      <c r="I25" s="16" t="s">
        <v>265</v>
      </c>
      <c r="J25" s="16" t="s">
        <v>265</v>
      </c>
      <c r="K25" s="16" t="s">
        <v>265</v>
      </c>
      <c r="L25" s="16" t="s">
        <v>265</v>
      </c>
      <c r="M25" s="16" t="s">
        <v>265</v>
      </c>
      <c r="N25" s="16" t="s">
        <v>265</v>
      </c>
      <c r="O25" s="16" t="s">
        <v>265</v>
      </c>
      <c r="P25" s="16" t="s">
        <v>265</v>
      </c>
      <c r="Q25" s="16" t="s">
        <v>265</v>
      </c>
      <c r="R25" s="16" t="s">
        <v>265</v>
      </c>
      <c r="S25" s="16" t="s">
        <v>265</v>
      </c>
      <c r="T25" s="16" t="s">
        <v>265</v>
      </c>
      <c r="U25" s="16" t="s">
        <v>265</v>
      </c>
      <c r="V25" s="16" t="s">
        <v>265</v>
      </c>
      <c r="W25" s="16" t="s">
        <v>265</v>
      </c>
      <c r="X25" s="16" t="s">
        <v>265</v>
      </c>
      <c r="Y25" s="16" t="s">
        <v>265</v>
      </c>
      <c r="Z25" s="16" t="s">
        <v>265</v>
      </c>
      <c r="AA25" s="16" t="s">
        <v>265</v>
      </c>
      <c r="AB25" s="16" t="s">
        <v>265</v>
      </c>
      <c r="AC25" s="16" t="s">
        <v>265</v>
      </c>
      <c r="AD25" s="16" t="s">
        <v>265</v>
      </c>
      <c r="AE25" s="16" t="s">
        <v>265</v>
      </c>
      <c r="AF25" s="16" t="s">
        <v>265</v>
      </c>
      <c r="AG25" s="16" t="s">
        <v>265</v>
      </c>
      <c r="AH25" s="16" t="s">
        <v>265</v>
      </c>
      <c r="AI25" s="16" t="s">
        <v>265</v>
      </c>
      <c r="AJ25" s="16" t="s">
        <v>265</v>
      </c>
      <c r="AK25" s="16" t="s">
        <v>265</v>
      </c>
      <c r="AL25" s="16" t="s">
        <v>265</v>
      </c>
      <c r="AM25" s="16" t="s">
        <v>265</v>
      </c>
      <c r="AN25" s="16" t="s">
        <v>265</v>
      </c>
      <c r="AO25" s="16" t="s">
        <v>265</v>
      </c>
      <c r="AP25" s="16" t="s">
        <v>265</v>
      </c>
      <c r="AQ25" s="16" t="s">
        <v>265</v>
      </c>
      <c r="AR25" s="16" t="s">
        <v>265</v>
      </c>
      <c r="AS25" s="16" t="s">
        <v>265</v>
      </c>
      <c r="AT25" s="16" t="s">
        <v>265</v>
      </c>
      <c r="AU25" s="16" t="s">
        <v>265</v>
      </c>
      <c r="AV25" s="16" t="s">
        <v>265</v>
      </c>
      <c r="AW25" s="16" t="s">
        <v>265</v>
      </c>
      <c r="AX25" s="16" t="s">
        <v>265</v>
      </c>
      <c r="AY25" s="16" t="s">
        <v>265</v>
      </c>
      <c r="AZ25" s="16" t="s">
        <v>265</v>
      </c>
      <c r="BA25" s="16" t="s">
        <v>265</v>
      </c>
      <c r="BB25" s="16" t="s">
        <v>265</v>
      </c>
      <c r="BC25" s="16" t="s">
        <v>265</v>
      </c>
      <c r="BD25" s="16" t="s">
        <v>265</v>
      </c>
      <c r="BE25" s="16" t="s">
        <v>265</v>
      </c>
    </row>
    <row r="26" customFormat="false" ht="12.8" hidden="false" customHeight="false" outlineLevel="0" collapsed="false">
      <c r="A26" s="1" t="s">
        <v>43</v>
      </c>
      <c r="B26" s="1" t="n">
        <f aca="false">jaguaribe_80ml!B27/50</f>
        <v>0</v>
      </c>
      <c r="C26" s="1" t="n">
        <f aca="false">jaguaribe_80ml!C27/50</f>
        <v>0</v>
      </c>
      <c r="D26" s="1" t="n">
        <f aca="false">jaguaribe_80ml!D27/50</f>
        <v>42.3</v>
      </c>
      <c r="E26" s="1" t="n">
        <f aca="false">jaguaribe_80ml!E27/50</f>
        <v>0</v>
      </c>
      <c r="F26" s="1" t="n">
        <f aca="false">jaguaribe_80ml!F27/50</f>
        <v>54.72</v>
      </c>
      <c r="G26" s="1" t="n">
        <f aca="false">jaguaribe_80ml!G27/50</f>
        <v>0.24</v>
      </c>
      <c r="H26" s="1" t="n">
        <f aca="false">jaguaribe_80ml!H27/50</f>
        <v>0</v>
      </c>
      <c r="I26" s="1" t="n">
        <f aca="false">jaguaribe_80ml!I27/50</f>
        <v>1.68</v>
      </c>
      <c r="J26" s="1" t="n">
        <f aca="false">jaguaribe_80ml!J27/50</f>
        <v>0</v>
      </c>
      <c r="K26" s="1" t="n">
        <f aca="false">jaguaribe_80ml!K27/50</f>
        <v>0.42</v>
      </c>
      <c r="L26" s="1" t="n">
        <f aca="false">jaguaribe_80ml!L27/50</f>
        <v>0</v>
      </c>
      <c r="M26" s="1" t="n">
        <f aca="false">jaguaribe_80ml!M27/50</f>
        <v>3.24</v>
      </c>
      <c r="N26" s="1" t="n">
        <f aca="false">jaguaribe_80ml!N27/50</f>
        <v>0</v>
      </c>
      <c r="O26" s="1" t="n">
        <f aca="false">jaguaribe_80ml!O27/50</f>
        <v>0.12</v>
      </c>
      <c r="P26" s="1" t="n">
        <f aca="false">jaguaribe_80ml!P27/50</f>
        <v>0</v>
      </c>
      <c r="Q26" s="1" t="n">
        <f aca="false">jaguaribe_80ml!Q27/50</f>
        <v>0</v>
      </c>
      <c r="R26" s="1" t="n">
        <f aca="false">jaguaribe_80ml!R27/50</f>
        <v>0</v>
      </c>
      <c r="S26" s="1" t="n">
        <f aca="false">jaguaribe_80ml!S27/50</f>
        <v>0</v>
      </c>
      <c r="T26" s="1" t="n">
        <f aca="false">jaguaribe_80ml!T27/50</f>
        <v>59.22</v>
      </c>
      <c r="U26" s="1" t="n">
        <f aca="false">jaguaribe_80ml!U27/50</f>
        <v>0.18</v>
      </c>
      <c r="V26" s="1" t="n">
        <f aca="false">jaguaribe_80ml!V27/50</f>
        <v>0</v>
      </c>
      <c r="W26" s="1" t="n">
        <f aca="false">jaguaribe_80ml!W27/50</f>
        <v>0</v>
      </c>
      <c r="X26" s="1" t="n">
        <f aca="false">jaguaribe_80ml!X27/50</f>
        <v>0</v>
      </c>
      <c r="Y26" s="1" t="n">
        <f aca="false">jaguaribe_80ml!Y27/50</f>
        <v>0</v>
      </c>
      <c r="Z26" s="1" t="n">
        <f aca="false">jaguaribe_80ml!Z27/50</f>
        <v>0.3</v>
      </c>
      <c r="AA26" s="1" t="n">
        <f aca="false">jaguaribe_80ml!AA27/50</f>
        <v>4.56</v>
      </c>
      <c r="AB26" s="1" t="n">
        <f aca="false">jaguaribe_80ml!AB27/50</f>
        <v>0</v>
      </c>
      <c r="AC26" s="1" t="n">
        <f aca="false">jaguaribe_80ml!AC27/50</f>
        <v>0</v>
      </c>
      <c r="AD26" s="1" t="n">
        <f aca="false">jaguaribe_80ml!AD27/50</f>
        <v>0.16</v>
      </c>
      <c r="AE26" s="1" t="n">
        <f aca="false">jaguaribe_80ml!AE27/50</f>
        <v>0</v>
      </c>
      <c r="AF26" s="1" t="n">
        <f aca="false">jaguaribe_80ml!AF27/50</f>
        <v>0.46</v>
      </c>
      <c r="AG26" s="1" t="n">
        <f aca="false">jaguaribe_80ml!AG27/50</f>
        <v>0</v>
      </c>
      <c r="AH26" s="1" t="n">
        <f aca="false">jaguaribe_80ml!AH27/50</f>
        <v>0</v>
      </c>
      <c r="AI26" s="1" t="n">
        <f aca="false">jaguaribe_80ml!AI27/50</f>
        <v>0</v>
      </c>
      <c r="AJ26" s="1" t="n">
        <f aca="false">jaguaribe_80ml!AJ27/50</f>
        <v>0.12</v>
      </c>
      <c r="AK26" s="1" t="n">
        <f aca="false">jaguaribe_80ml!AK27/50</f>
        <v>0</v>
      </c>
      <c r="AL26" s="1" t="n">
        <f aca="false">jaguaribe_80ml!AL27/50</f>
        <v>0</v>
      </c>
      <c r="AM26" s="1" t="n">
        <f aca="false">jaguaribe_80ml!AM27/50</f>
        <v>0</v>
      </c>
      <c r="AN26" s="1" t="n">
        <f aca="false">jaguaribe_80ml!AN27/50</f>
        <v>0</v>
      </c>
      <c r="AO26" s="1" t="n">
        <f aca="false">jaguaribe_80ml!AO27/50</f>
        <v>0</v>
      </c>
      <c r="AP26" s="1" t="n">
        <f aca="false">jaguaribe_80ml!AP27/50</f>
        <v>0</v>
      </c>
      <c r="AQ26" s="1" t="n">
        <f aca="false">jaguaribe_80ml!AQ27/50</f>
        <v>0</v>
      </c>
      <c r="AR26" s="1" t="n">
        <f aca="false">jaguaribe_80ml!AR27/50</f>
        <v>0</v>
      </c>
      <c r="AS26" s="1" t="n">
        <f aca="false">jaguaribe_80ml!AS27/50</f>
        <v>0</v>
      </c>
      <c r="AT26" s="1" t="n">
        <f aca="false">jaguaribe_80ml!AT27/50</f>
        <v>5.4</v>
      </c>
      <c r="AU26" s="1" t="n">
        <f aca="false">jaguaribe_80ml!AU27/50</f>
        <v>0.08</v>
      </c>
      <c r="AV26" s="1" t="n">
        <f aca="false">jaguaribe_80ml!AV27/50</f>
        <v>0</v>
      </c>
      <c r="AW26" s="1" t="n">
        <f aca="false">jaguaribe_80ml!AW27/50</f>
        <v>0</v>
      </c>
      <c r="AX26" s="1" t="n">
        <f aca="false">jaguaribe_80ml!AX27/50</f>
        <v>0</v>
      </c>
      <c r="AY26" s="1" t="n">
        <f aca="false">jaguaribe_80ml!AY27/50</f>
        <v>0</v>
      </c>
      <c r="AZ26" s="1" t="n">
        <f aca="false">jaguaribe_80ml!AZ27/50</f>
        <v>0</v>
      </c>
      <c r="BA26" s="1" t="n">
        <f aca="false">jaguaribe_80ml!BA27/50</f>
        <v>0</v>
      </c>
      <c r="BB26" s="1" t="n">
        <f aca="false">jaguaribe_80ml!BB27/50</f>
        <v>0.22</v>
      </c>
      <c r="BC26" s="1" t="n">
        <f aca="false">jaguaribe_80ml!BC27/50</f>
        <v>0</v>
      </c>
      <c r="BD26" s="1" t="n">
        <f aca="false">jaguaribe_80ml!BD27/50</f>
        <v>0</v>
      </c>
      <c r="BE26" s="1" t="n">
        <f aca="false">jaguaribe_80ml!BE27/50</f>
        <v>0</v>
      </c>
    </row>
    <row r="27" customFormat="false" ht="12.8" hidden="false" customHeight="false" outlineLevel="0" collapsed="false">
      <c r="A27" s="1" t="s">
        <v>44</v>
      </c>
      <c r="B27" s="16" t="s">
        <v>265</v>
      </c>
      <c r="C27" s="16" t="s">
        <v>265</v>
      </c>
      <c r="D27" s="16" t="s">
        <v>265</v>
      </c>
      <c r="E27" s="16" t="s">
        <v>265</v>
      </c>
      <c r="F27" s="16" t="s">
        <v>265</v>
      </c>
      <c r="G27" s="16" t="s">
        <v>265</v>
      </c>
      <c r="H27" s="16" t="s">
        <v>265</v>
      </c>
      <c r="I27" s="16" t="s">
        <v>265</v>
      </c>
      <c r="J27" s="16" t="s">
        <v>265</v>
      </c>
      <c r="K27" s="16" t="s">
        <v>265</v>
      </c>
      <c r="L27" s="16" t="s">
        <v>265</v>
      </c>
      <c r="M27" s="16" t="s">
        <v>265</v>
      </c>
      <c r="N27" s="16" t="s">
        <v>265</v>
      </c>
      <c r="O27" s="16" t="s">
        <v>265</v>
      </c>
      <c r="P27" s="16" t="s">
        <v>265</v>
      </c>
      <c r="Q27" s="16" t="s">
        <v>265</v>
      </c>
      <c r="R27" s="16" t="s">
        <v>265</v>
      </c>
      <c r="S27" s="16" t="s">
        <v>265</v>
      </c>
      <c r="T27" s="16" t="s">
        <v>265</v>
      </c>
      <c r="U27" s="16" t="s">
        <v>265</v>
      </c>
      <c r="V27" s="16" t="s">
        <v>265</v>
      </c>
      <c r="W27" s="16" t="s">
        <v>265</v>
      </c>
      <c r="X27" s="16" t="s">
        <v>265</v>
      </c>
      <c r="Y27" s="16" t="s">
        <v>265</v>
      </c>
      <c r="Z27" s="16" t="s">
        <v>265</v>
      </c>
      <c r="AA27" s="16" t="s">
        <v>265</v>
      </c>
      <c r="AB27" s="16" t="s">
        <v>265</v>
      </c>
      <c r="AC27" s="16" t="s">
        <v>265</v>
      </c>
      <c r="AD27" s="16" t="s">
        <v>265</v>
      </c>
      <c r="AE27" s="16" t="s">
        <v>265</v>
      </c>
      <c r="AF27" s="16" t="s">
        <v>265</v>
      </c>
      <c r="AG27" s="16" t="s">
        <v>265</v>
      </c>
      <c r="AH27" s="16" t="s">
        <v>265</v>
      </c>
      <c r="AI27" s="16" t="s">
        <v>265</v>
      </c>
      <c r="AJ27" s="16" t="s">
        <v>265</v>
      </c>
      <c r="AK27" s="16" t="s">
        <v>265</v>
      </c>
      <c r="AL27" s="16" t="s">
        <v>265</v>
      </c>
      <c r="AM27" s="16" t="s">
        <v>265</v>
      </c>
      <c r="AN27" s="16" t="s">
        <v>265</v>
      </c>
      <c r="AO27" s="16" t="s">
        <v>265</v>
      </c>
      <c r="AP27" s="16" t="s">
        <v>265</v>
      </c>
      <c r="AQ27" s="16" t="s">
        <v>265</v>
      </c>
      <c r="AR27" s="16" t="s">
        <v>265</v>
      </c>
      <c r="AS27" s="16" t="s">
        <v>265</v>
      </c>
      <c r="AT27" s="16" t="s">
        <v>265</v>
      </c>
      <c r="AU27" s="16" t="s">
        <v>265</v>
      </c>
      <c r="AV27" s="16" t="s">
        <v>265</v>
      </c>
      <c r="AW27" s="16" t="s">
        <v>265</v>
      </c>
      <c r="AX27" s="16" t="s">
        <v>265</v>
      </c>
      <c r="AY27" s="16" t="s">
        <v>265</v>
      </c>
      <c r="AZ27" s="16" t="s">
        <v>265</v>
      </c>
      <c r="BA27" s="16" t="s">
        <v>265</v>
      </c>
      <c r="BB27" s="16" t="s">
        <v>265</v>
      </c>
      <c r="BC27" s="16" t="s">
        <v>265</v>
      </c>
      <c r="BD27" s="16" t="s">
        <v>265</v>
      </c>
      <c r="BE27" s="16" t="s">
        <v>265</v>
      </c>
    </row>
    <row r="28" customFormat="false" ht="12.8" hidden="false" customHeight="false" outlineLevel="0" collapsed="false">
      <c r="A28" s="1" t="s">
        <v>45</v>
      </c>
      <c r="B28" s="16" t="s">
        <v>265</v>
      </c>
      <c r="C28" s="16" t="s">
        <v>265</v>
      </c>
      <c r="D28" s="16" t="s">
        <v>265</v>
      </c>
      <c r="E28" s="16" t="s">
        <v>265</v>
      </c>
      <c r="F28" s="16" t="s">
        <v>265</v>
      </c>
      <c r="G28" s="16" t="s">
        <v>265</v>
      </c>
      <c r="H28" s="16" t="s">
        <v>265</v>
      </c>
      <c r="I28" s="16" t="s">
        <v>265</v>
      </c>
      <c r="J28" s="16" t="s">
        <v>265</v>
      </c>
      <c r="K28" s="16" t="s">
        <v>265</v>
      </c>
      <c r="L28" s="16" t="s">
        <v>265</v>
      </c>
      <c r="M28" s="16" t="s">
        <v>265</v>
      </c>
      <c r="N28" s="16" t="s">
        <v>265</v>
      </c>
      <c r="O28" s="16" t="s">
        <v>265</v>
      </c>
      <c r="P28" s="16" t="s">
        <v>265</v>
      </c>
      <c r="Q28" s="16" t="s">
        <v>265</v>
      </c>
      <c r="R28" s="16" t="s">
        <v>265</v>
      </c>
      <c r="S28" s="16" t="s">
        <v>265</v>
      </c>
      <c r="T28" s="16" t="s">
        <v>265</v>
      </c>
      <c r="U28" s="16" t="s">
        <v>265</v>
      </c>
      <c r="V28" s="16" t="s">
        <v>265</v>
      </c>
      <c r="W28" s="16" t="s">
        <v>265</v>
      </c>
      <c r="X28" s="16" t="s">
        <v>265</v>
      </c>
      <c r="Y28" s="16" t="s">
        <v>265</v>
      </c>
      <c r="Z28" s="16" t="s">
        <v>265</v>
      </c>
      <c r="AA28" s="16" t="s">
        <v>265</v>
      </c>
      <c r="AB28" s="16" t="s">
        <v>265</v>
      </c>
      <c r="AC28" s="16" t="s">
        <v>265</v>
      </c>
      <c r="AD28" s="16" t="s">
        <v>265</v>
      </c>
      <c r="AE28" s="16" t="s">
        <v>265</v>
      </c>
      <c r="AF28" s="16" t="s">
        <v>265</v>
      </c>
      <c r="AG28" s="16" t="s">
        <v>265</v>
      </c>
      <c r="AH28" s="16" t="s">
        <v>265</v>
      </c>
      <c r="AI28" s="16" t="s">
        <v>265</v>
      </c>
      <c r="AJ28" s="16" t="s">
        <v>265</v>
      </c>
      <c r="AK28" s="16" t="s">
        <v>265</v>
      </c>
      <c r="AL28" s="16" t="s">
        <v>265</v>
      </c>
      <c r="AM28" s="16" t="s">
        <v>265</v>
      </c>
      <c r="AN28" s="16" t="s">
        <v>265</v>
      </c>
      <c r="AO28" s="16" t="s">
        <v>265</v>
      </c>
      <c r="AP28" s="16" t="s">
        <v>265</v>
      </c>
      <c r="AQ28" s="16" t="s">
        <v>265</v>
      </c>
      <c r="AR28" s="16" t="s">
        <v>265</v>
      </c>
      <c r="AS28" s="16" t="s">
        <v>265</v>
      </c>
      <c r="AT28" s="16" t="s">
        <v>265</v>
      </c>
      <c r="AU28" s="16" t="s">
        <v>265</v>
      </c>
      <c r="AV28" s="16" t="s">
        <v>265</v>
      </c>
      <c r="AW28" s="16" t="s">
        <v>265</v>
      </c>
      <c r="AX28" s="16" t="s">
        <v>265</v>
      </c>
      <c r="AY28" s="16" t="s">
        <v>265</v>
      </c>
      <c r="AZ28" s="16" t="s">
        <v>265</v>
      </c>
      <c r="BA28" s="16" t="s">
        <v>265</v>
      </c>
      <c r="BB28" s="16" t="s">
        <v>265</v>
      </c>
      <c r="BC28" s="16" t="s">
        <v>265</v>
      </c>
      <c r="BD28" s="16" t="s">
        <v>265</v>
      </c>
      <c r="BE28" s="16" t="s">
        <v>265</v>
      </c>
    </row>
    <row r="29" customFormat="false" ht="12.8" hidden="false" customHeight="false" outlineLevel="0" collapsed="false">
      <c r="A29" s="1" t="s">
        <v>46</v>
      </c>
      <c r="B29" s="1" t="n">
        <f aca="false">jaguaribe_80ml!B30/50</f>
        <v>0</v>
      </c>
      <c r="C29" s="1" t="n">
        <f aca="false">jaguaribe_80ml!C30/50</f>
        <v>0</v>
      </c>
      <c r="D29" s="1" t="n">
        <f aca="false">jaguaribe_80ml!D30/50</f>
        <v>2.6</v>
      </c>
      <c r="E29" s="1" t="n">
        <f aca="false">jaguaribe_80ml!E30/50</f>
        <v>0</v>
      </c>
      <c r="F29" s="1" t="n">
        <f aca="false">jaguaribe_80ml!F30/50</f>
        <v>0.06</v>
      </c>
      <c r="G29" s="1" t="n">
        <f aca="false">jaguaribe_80ml!G30/50</f>
        <v>0</v>
      </c>
      <c r="H29" s="1" t="n">
        <f aca="false">jaguaribe_80ml!H30/50</f>
        <v>0</v>
      </c>
      <c r="I29" s="1" t="n">
        <f aca="false">jaguaribe_80ml!I30/50</f>
        <v>0.12</v>
      </c>
      <c r="J29" s="1" t="n">
        <f aca="false">jaguaribe_80ml!J30/50</f>
        <v>0</v>
      </c>
      <c r="K29" s="1" t="n">
        <f aca="false">jaguaribe_80ml!K30/50</f>
        <v>0.08</v>
      </c>
      <c r="L29" s="1" t="n">
        <f aca="false">jaguaribe_80ml!L30/50</f>
        <v>0</v>
      </c>
      <c r="M29" s="1" t="n">
        <f aca="false">jaguaribe_80ml!M30/50</f>
        <v>1.86</v>
      </c>
      <c r="N29" s="1" t="n">
        <f aca="false">jaguaribe_80ml!N30/50</f>
        <v>0</v>
      </c>
      <c r="O29" s="1" t="n">
        <f aca="false">jaguaribe_80ml!O30/50</f>
        <v>0</v>
      </c>
      <c r="P29" s="1" t="n">
        <f aca="false">jaguaribe_80ml!P30/50</f>
        <v>0</v>
      </c>
      <c r="Q29" s="1" t="n">
        <f aca="false">jaguaribe_80ml!Q30/50</f>
        <v>0</v>
      </c>
      <c r="R29" s="1" t="n">
        <f aca="false">jaguaribe_80ml!R30/50</f>
        <v>0</v>
      </c>
      <c r="S29" s="1" t="n">
        <f aca="false">jaguaribe_80ml!S30/50</f>
        <v>0</v>
      </c>
      <c r="T29" s="1" t="n">
        <f aca="false">jaguaribe_80ml!T30/50</f>
        <v>0.22</v>
      </c>
      <c r="U29" s="1" t="n">
        <f aca="false">jaguaribe_80ml!U30/50</f>
        <v>0.14</v>
      </c>
      <c r="V29" s="1" t="n">
        <f aca="false">jaguaribe_80ml!V30/50</f>
        <v>0</v>
      </c>
      <c r="W29" s="1" t="n">
        <f aca="false">jaguaribe_80ml!W30/50</f>
        <v>0</v>
      </c>
      <c r="X29" s="1" t="n">
        <f aca="false">jaguaribe_80ml!X30/50</f>
        <v>0</v>
      </c>
      <c r="Y29" s="1" t="n">
        <f aca="false">jaguaribe_80ml!Y30/50</f>
        <v>0</v>
      </c>
      <c r="Z29" s="1" t="n">
        <f aca="false">jaguaribe_80ml!Z30/50</f>
        <v>0</v>
      </c>
      <c r="AA29" s="1" t="n">
        <f aca="false">jaguaribe_80ml!AA30/50</f>
        <v>1.4</v>
      </c>
      <c r="AB29" s="1" t="n">
        <f aca="false">jaguaribe_80ml!AB30/50</f>
        <v>0</v>
      </c>
      <c r="AC29" s="1" t="n">
        <f aca="false">jaguaribe_80ml!AC30/50</f>
        <v>0</v>
      </c>
      <c r="AD29" s="1" t="n">
        <f aca="false">jaguaribe_80ml!AD30/50</f>
        <v>0.04</v>
      </c>
      <c r="AE29" s="1" t="n">
        <f aca="false">jaguaribe_80ml!AE30/50</f>
        <v>0</v>
      </c>
      <c r="AF29" s="1" t="n">
        <f aca="false">jaguaribe_80ml!AF30/50</f>
        <v>0</v>
      </c>
      <c r="AG29" s="1" t="n">
        <f aca="false">jaguaribe_80ml!AG30/50</f>
        <v>0</v>
      </c>
      <c r="AH29" s="1" t="n">
        <f aca="false">jaguaribe_80ml!AH30/50</f>
        <v>0</v>
      </c>
      <c r="AI29" s="1" t="n">
        <f aca="false">jaguaribe_80ml!AI30/50</f>
        <v>0</v>
      </c>
      <c r="AJ29" s="1" t="n">
        <f aca="false">jaguaribe_80ml!AJ30/50</f>
        <v>0</v>
      </c>
      <c r="AK29" s="1" t="n">
        <f aca="false">jaguaribe_80ml!AK30/50</f>
        <v>0</v>
      </c>
      <c r="AL29" s="1" t="n">
        <f aca="false">jaguaribe_80ml!AL30/50</f>
        <v>0</v>
      </c>
      <c r="AM29" s="1" t="n">
        <f aca="false">jaguaribe_80ml!AM30/50</f>
        <v>0</v>
      </c>
      <c r="AN29" s="1" t="n">
        <f aca="false">jaguaribe_80ml!AN30/50</f>
        <v>0</v>
      </c>
      <c r="AO29" s="1" t="n">
        <f aca="false">jaguaribe_80ml!AO30/50</f>
        <v>0</v>
      </c>
      <c r="AP29" s="1" t="n">
        <f aca="false">jaguaribe_80ml!AP30/50</f>
        <v>0</v>
      </c>
      <c r="AQ29" s="1" t="n">
        <f aca="false">jaguaribe_80ml!AQ30/50</f>
        <v>0</v>
      </c>
      <c r="AR29" s="1" t="n">
        <f aca="false">jaguaribe_80ml!AR30/50</f>
        <v>0</v>
      </c>
      <c r="AS29" s="1" t="n">
        <f aca="false">jaguaribe_80ml!AS30/50</f>
        <v>0</v>
      </c>
      <c r="AT29" s="1" t="n">
        <f aca="false">jaguaribe_80ml!AT30/50</f>
        <v>7.88</v>
      </c>
      <c r="AU29" s="1" t="n">
        <f aca="false">jaguaribe_80ml!AU30/50</f>
        <v>0</v>
      </c>
      <c r="AV29" s="1" t="n">
        <f aca="false">jaguaribe_80ml!AV30/50</f>
        <v>0</v>
      </c>
      <c r="AW29" s="1" t="n">
        <f aca="false">jaguaribe_80ml!AW30/50</f>
        <v>0</v>
      </c>
      <c r="AX29" s="1" t="n">
        <f aca="false">jaguaribe_80ml!AX30/50</f>
        <v>0</v>
      </c>
      <c r="AY29" s="1" t="n">
        <f aca="false">jaguaribe_80ml!AY30/50</f>
        <v>0</v>
      </c>
      <c r="AZ29" s="1" t="n">
        <f aca="false">jaguaribe_80ml!AZ30/50</f>
        <v>0</v>
      </c>
      <c r="BA29" s="1" t="n">
        <f aca="false">jaguaribe_80ml!BA30/50</f>
        <v>0</v>
      </c>
      <c r="BB29" s="1" t="n">
        <f aca="false">jaguaribe_80ml!BB30/50</f>
        <v>0.92</v>
      </c>
      <c r="BC29" s="1" t="n">
        <f aca="false">jaguaribe_80ml!BC30/50</f>
        <v>0</v>
      </c>
      <c r="BD29" s="1" t="n">
        <f aca="false">jaguaribe_80ml!BD30/50</f>
        <v>0</v>
      </c>
      <c r="BE29" s="1" t="n">
        <f aca="false">jaguaribe_80ml!BE30/50</f>
        <v>0</v>
      </c>
    </row>
    <row r="30" customFormat="false" ht="12.8" hidden="false" customHeight="false" outlineLevel="0" collapsed="false">
      <c r="A30" s="1" t="s">
        <v>48</v>
      </c>
      <c r="B30" s="1" t="n">
        <f aca="false">jaguaribe_80ml!B31/50</f>
        <v>0</v>
      </c>
      <c r="C30" s="1" t="n">
        <f aca="false">jaguaribe_80ml!C31/50</f>
        <v>0</v>
      </c>
      <c r="D30" s="1" t="n">
        <f aca="false">jaguaribe_80ml!D31/50</f>
        <v>0.8</v>
      </c>
      <c r="E30" s="1" t="n">
        <f aca="false">jaguaribe_80ml!E31/50</f>
        <v>0</v>
      </c>
      <c r="F30" s="1" t="n">
        <f aca="false">jaguaribe_80ml!F31/50</f>
        <v>0.08</v>
      </c>
      <c r="G30" s="1" t="n">
        <f aca="false">jaguaribe_80ml!G31/50</f>
        <v>0</v>
      </c>
      <c r="H30" s="1" t="n">
        <f aca="false">jaguaribe_80ml!H31/50</f>
        <v>0</v>
      </c>
      <c r="I30" s="1" t="n">
        <f aca="false">jaguaribe_80ml!I31/50</f>
        <v>0.04</v>
      </c>
      <c r="J30" s="1" t="n">
        <f aca="false">jaguaribe_80ml!J31/50</f>
        <v>0</v>
      </c>
      <c r="K30" s="1" t="n">
        <f aca="false">jaguaribe_80ml!K31/50</f>
        <v>0.12</v>
      </c>
      <c r="L30" s="1" t="n">
        <f aca="false">jaguaribe_80ml!L31/50</f>
        <v>0</v>
      </c>
      <c r="M30" s="1" t="n">
        <f aca="false">jaguaribe_80ml!M31/50</f>
        <v>2.42</v>
      </c>
      <c r="N30" s="1" t="n">
        <f aca="false">jaguaribe_80ml!N31/50</f>
        <v>0</v>
      </c>
      <c r="O30" s="1" t="n">
        <f aca="false">jaguaribe_80ml!O31/50</f>
        <v>0</v>
      </c>
      <c r="P30" s="1" t="n">
        <f aca="false">jaguaribe_80ml!P31/50</f>
        <v>0</v>
      </c>
      <c r="Q30" s="1" t="n">
        <f aca="false">jaguaribe_80ml!Q31/50</f>
        <v>0</v>
      </c>
      <c r="R30" s="1" t="n">
        <f aca="false">jaguaribe_80ml!R31/50</f>
        <v>0</v>
      </c>
      <c r="S30" s="1" t="n">
        <f aca="false">jaguaribe_80ml!S31/50</f>
        <v>0</v>
      </c>
      <c r="T30" s="1" t="n">
        <f aca="false">jaguaribe_80ml!T31/50</f>
        <v>0.42</v>
      </c>
      <c r="U30" s="1" t="n">
        <f aca="false">jaguaribe_80ml!U31/50</f>
        <v>0.02</v>
      </c>
      <c r="V30" s="1" t="n">
        <f aca="false">jaguaribe_80ml!V31/50</f>
        <v>0</v>
      </c>
      <c r="W30" s="1" t="n">
        <f aca="false">jaguaribe_80ml!W31/50</f>
        <v>0</v>
      </c>
      <c r="X30" s="1" t="n">
        <f aca="false">jaguaribe_80ml!X31/50</f>
        <v>0</v>
      </c>
      <c r="Y30" s="1" t="n">
        <f aca="false">jaguaribe_80ml!Y31/50</f>
        <v>0</v>
      </c>
      <c r="Z30" s="1" t="n">
        <f aca="false">jaguaribe_80ml!Z31/50</f>
        <v>0</v>
      </c>
      <c r="AA30" s="1" t="n">
        <f aca="false">jaguaribe_80ml!AA31/50</f>
        <v>1.04</v>
      </c>
      <c r="AB30" s="1" t="n">
        <f aca="false">jaguaribe_80ml!AB31/50</f>
        <v>0</v>
      </c>
      <c r="AC30" s="1" t="n">
        <f aca="false">jaguaribe_80ml!AC31/50</f>
        <v>0</v>
      </c>
      <c r="AD30" s="1" t="n">
        <f aca="false">jaguaribe_80ml!AD31/50</f>
        <v>0.02</v>
      </c>
      <c r="AE30" s="1" t="n">
        <f aca="false">jaguaribe_80ml!AE31/50</f>
        <v>0</v>
      </c>
      <c r="AF30" s="1" t="n">
        <f aca="false">jaguaribe_80ml!AF31/50</f>
        <v>0</v>
      </c>
      <c r="AG30" s="1" t="n">
        <f aca="false">jaguaribe_80ml!AG31/50</f>
        <v>0</v>
      </c>
      <c r="AH30" s="1" t="n">
        <f aca="false">jaguaribe_80ml!AH31/50</f>
        <v>0</v>
      </c>
      <c r="AI30" s="1" t="n">
        <f aca="false">jaguaribe_80ml!AI31/50</f>
        <v>0</v>
      </c>
      <c r="AJ30" s="1" t="n">
        <f aca="false">jaguaribe_80ml!AJ31/50</f>
        <v>0</v>
      </c>
      <c r="AK30" s="1" t="n">
        <f aca="false">jaguaribe_80ml!AK31/50</f>
        <v>0</v>
      </c>
      <c r="AL30" s="1" t="n">
        <f aca="false">jaguaribe_80ml!AL31/50</f>
        <v>0</v>
      </c>
      <c r="AM30" s="1" t="n">
        <f aca="false">jaguaribe_80ml!AM31/50</f>
        <v>0</v>
      </c>
      <c r="AN30" s="1" t="n">
        <f aca="false">jaguaribe_80ml!AN31/50</f>
        <v>0</v>
      </c>
      <c r="AO30" s="1" t="n">
        <f aca="false">jaguaribe_80ml!AO31/50</f>
        <v>0</v>
      </c>
      <c r="AP30" s="1" t="n">
        <f aca="false">jaguaribe_80ml!AP31/50</f>
        <v>0</v>
      </c>
      <c r="AQ30" s="1" t="n">
        <f aca="false">jaguaribe_80ml!AQ31/50</f>
        <v>0</v>
      </c>
      <c r="AR30" s="1" t="n">
        <f aca="false">jaguaribe_80ml!AR31/50</f>
        <v>0</v>
      </c>
      <c r="AS30" s="1" t="n">
        <f aca="false">jaguaribe_80ml!AS31/50</f>
        <v>0</v>
      </c>
      <c r="AT30" s="1" t="n">
        <f aca="false">jaguaribe_80ml!AT31/50</f>
        <v>6.46</v>
      </c>
      <c r="AU30" s="1" t="n">
        <f aca="false">jaguaribe_80ml!AU31/50</f>
        <v>0</v>
      </c>
      <c r="AV30" s="1" t="n">
        <f aca="false">jaguaribe_80ml!AV31/50</f>
        <v>0</v>
      </c>
      <c r="AW30" s="1" t="n">
        <f aca="false">jaguaribe_80ml!AW31/50</f>
        <v>0</v>
      </c>
      <c r="AX30" s="1" t="n">
        <f aca="false">jaguaribe_80ml!AX31/50</f>
        <v>0</v>
      </c>
      <c r="AY30" s="1" t="n">
        <f aca="false">jaguaribe_80ml!AY31/50</f>
        <v>0</v>
      </c>
      <c r="AZ30" s="1" t="n">
        <f aca="false">jaguaribe_80ml!AZ31/50</f>
        <v>0</v>
      </c>
      <c r="BA30" s="1" t="n">
        <f aca="false">jaguaribe_80ml!BA31/50</f>
        <v>0</v>
      </c>
      <c r="BB30" s="1" t="n">
        <f aca="false">jaguaribe_80ml!BB31/50</f>
        <v>0.98</v>
      </c>
      <c r="BC30" s="1" t="n">
        <f aca="false">jaguaribe_80ml!BC31/50</f>
        <v>0</v>
      </c>
      <c r="BD30" s="1" t="n">
        <f aca="false">jaguaribe_80ml!BD31/50</f>
        <v>0</v>
      </c>
      <c r="BE30" s="1" t="n">
        <f aca="false">jaguaribe_80ml!BE31/50</f>
        <v>0</v>
      </c>
    </row>
    <row r="31" customFormat="false" ht="12.8" hidden="false" customHeight="false" outlineLevel="0" collapsed="false">
      <c r="A31" s="1" t="s">
        <v>49</v>
      </c>
      <c r="B31" s="1" t="n">
        <f aca="false">jaguaribe_80ml!B32/50</f>
        <v>0</v>
      </c>
      <c r="C31" s="1" t="n">
        <f aca="false">jaguaribe_80ml!C32/50</f>
        <v>0</v>
      </c>
      <c r="D31" s="1" t="n">
        <f aca="false">jaguaribe_80ml!D32/50</f>
        <v>0.22</v>
      </c>
      <c r="E31" s="1" t="n">
        <f aca="false">jaguaribe_80ml!E32/50</f>
        <v>0</v>
      </c>
      <c r="F31" s="1" t="n">
        <f aca="false">jaguaribe_80ml!F32/50</f>
        <v>0</v>
      </c>
      <c r="G31" s="1" t="n">
        <f aca="false">jaguaribe_80ml!G32/50</f>
        <v>0</v>
      </c>
      <c r="H31" s="1" t="n">
        <f aca="false">jaguaribe_80ml!H32/50</f>
        <v>0</v>
      </c>
      <c r="I31" s="1" t="n">
        <f aca="false">jaguaribe_80ml!I32/50</f>
        <v>0</v>
      </c>
      <c r="J31" s="1" t="n">
        <f aca="false">jaguaribe_80ml!J32/50</f>
        <v>0</v>
      </c>
      <c r="K31" s="1" t="n">
        <f aca="false">jaguaribe_80ml!K32/50</f>
        <v>0</v>
      </c>
      <c r="L31" s="1" t="n">
        <f aca="false">jaguaribe_80ml!L32/50</f>
        <v>0</v>
      </c>
      <c r="M31" s="1" t="n">
        <f aca="false">jaguaribe_80ml!M32/50</f>
        <v>0.34</v>
      </c>
      <c r="N31" s="1" t="n">
        <f aca="false">jaguaribe_80ml!N32/50</f>
        <v>0</v>
      </c>
      <c r="O31" s="1" t="n">
        <f aca="false">jaguaribe_80ml!O32/50</f>
        <v>0.02</v>
      </c>
      <c r="P31" s="1" t="n">
        <f aca="false">jaguaribe_80ml!P32/50</f>
        <v>0</v>
      </c>
      <c r="Q31" s="1" t="n">
        <f aca="false">jaguaribe_80ml!Q32/50</f>
        <v>0</v>
      </c>
      <c r="R31" s="1" t="n">
        <f aca="false">jaguaribe_80ml!R32/50</f>
        <v>0</v>
      </c>
      <c r="S31" s="1" t="n">
        <f aca="false">jaguaribe_80ml!S32/50</f>
        <v>0</v>
      </c>
      <c r="T31" s="1" t="n">
        <f aca="false">jaguaribe_80ml!T32/50</f>
        <v>0</v>
      </c>
      <c r="U31" s="1" t="n">
        <f aca="false">jaguaribe_80ml!U32/50</f>
        <v>0</v>
      </c>
      <c r="V31" s="1" t="n">
        <f aca="false">jaguaribe_80ml!V32/50</f>
        <v>0</v>
      </c>
      <c r="W31" s="1" t="n">
        <f aca="false">jaguaribe_80ml!W32/50</f>
        <v>0</v>
      </c>
      <c r="X31" s="1" t="n">
        <f aca="false">jaguaribe_80ml!X32/50</f>
        <v>0</v>
      </c>
      <c r="Y31" s="1" t="n">
        <f aca="false">jaguaribe_80ml!Y32/50</f>
        <v>0</v>
      </c>
      <c r="Z31" s="1" t="n">
        <f aca="false">jaguaribe_80ml!Z32/50</f>
        <v>0</v>
      </c>
      <c r="AA31" s="1" t="n">
        <f aca="false">jaguaribe_80ml!AA32/50</f>
        <v>0.06</v>
      </c>
      <c r="AB31" s="1" t="n">
        <f aca="false">jaguaribe_80ml!AB32/50</f>
        <v>0</v>
      </c>
      <c r="AC31" s="1" t="n">
        <f aca="false">jaguaribe_80ml!AC32/50</f>
        <v>0</v>
      </c>
      <c r="AD31" s="1" t="n">
        <f aca="false">jaguaribe_80ml!AD32/50</f>
        <v>0</v>
      </c>
      <c r="AE31" s="1" t="n">
        <f aca="false">jaguaribe_80ml!AE32/50</f>
        <v>0</v>
      </c>
      <c r="AF31" s="1" t="n">
        <f aca="false">jaguaribe_80ml!AF32/50</f>
        <v>0</v>
      </c>
      <c r="AG31" s="1" t="n">
        <f aca="false">jaguaribe_80ml!AG32/50</f>
        <v>0</v>
      </c>
      <c r="AH31" s="1" t="n">
        <f aca="false">jaguaribe_80ml!AH32/50</f>
        <v>0</v>
      </c>
      <c r="AI31" s="1" t="n">
        <f aca="false">jaguaribe_80ml!AI32/50</f>
        <v>0</v>
      </c>
      <c r="AJ31" s="1" t="n">
        <f aca="false">jaguaribe_80ml!AJ32/50</f>
        <v>0</v>
      </c>
      <c r="AK31" s="1" t="n">
        <f aca="false">jaguaribe_80ml!AK32/50</f>
        <v>0</v>
      </c>
      <c r="AL31" s="1" t="n">
        <f aca="false">jaguaribe_80ml!AL32/50</f>
        <v>0</v>
      </c>
      <c r="AM31" s="1" t="n">
        <f aca="false">jaguaribe_80ml!AM32/50</f>
        <v>0</v>
      </c>
      <c r="AN31" s="1" t="n">
        <f aca="false">jaguaribe_80ml!AN32/50</f>
        <v>0</v>
      </c>
      <c r="AO31" s="1" t="n">
        <f aca="false">jaguaribe_80ml!AO32/50</f>
        <v>0</v>
      </c>
      <c r="AP31" s="1" t="n">
        <f aca="false">jaguaribe_80ml!AP32/50</f>
        <v>0</v>
      </c>
      <c r="AQ31" s="1" t="n">
        <f aca="false">jaguaribe_80ml!AQ32/50</f>
        <v>0</v>
      </c>
      <c r="AR31" s="1" t="n">
        <f aca="false">jaguaribe_80ml!AR32/50</f>
        <v>0.02</v>
      </c>
      <c r="AS31" s="1" t="n">
        <f aca="false">jaguaribe_80ml!AS32/50</f>
        <v>0</v>
      </c>
      <c r="AT31" s="1" t="n">
        <f aca="false">jaguaribe_80ml!AT32/50</f>
        <v>0.68</v>
      </c>
      <c r="AU31" s="1" t="n">
        <f aca="false">jaguaribe_80ml!AU32/50</f>
        <v>0</v>
      </c>
      <c r="AV31" s="1" t="n">
        <f aca="false">jaguaribe_80ml!AV32/50</f>
        <v>0</v>
      </c>
      <c r="AW31" s="1" t="n">
        <f aca="false">jaguaribe_80ml!AW32/50</f>
        <v>0</v>
      </c>
      <c r="AX31" s="1" t="n">
        <f aca="false">jaguaribe_80ml!AX32/50</f>
        <v>0</v>
      </c>
      <c r="AY31" s="1" t="n">
        <f aca="false">jaguaribe_80ml!AY32/50</f>
        <v>0</v>
      </c>
      <c r="AZ31" s="1" t="n">
        <f aca="false">jaguaribe_80ml!AZ32/50</f>
        <v>0</v>
      </c>
      <c r="BA31" s="1" t="n">
        <f aca="false">jaguaribe_80ml!BA32/50</f>
        <v>0</v>
      </c>
      <c r="BB31" s="1" t="n">
        <f aca="false">jaguaribe_80ml!BB32/50</f>
        <v>0.06</v>
      </c>
      <c r="BC31" s="1" t="n">
        <f aca="false">jaguaribe_80ml!BC32/50</f>
        <v>0.02</v>
      </c>
      <c r="BD31" s="1" t="n">
        <f aca="false">jaguaribe_80ml!BD32/50</f>
        <v>0</v>
      </c>
      <c r="BE31" s="1" t="n">
        <f aca="false">jaguaribe_80ml!BE32/50</f>
        <v>0</v>
      </c>
    </row>
    <row r="32" customFormat="false" ht="12.8" hidden="false" customHeight="false" outlineLevel="0" collapsed="false">
      <c r="A32" s="1" t="s">
        <v>50</v>
      </c>
      <c r="B32" s="1" t="n">
        <f aca="false">jaguaribe_80ml!B33/50</f>
        <v>0</v>
      </c>
      <c r="C32" s="1" t="n">
        <f aca="false">jaguaribe_80ml!C33/50</f>
        <v>0</v>
      </c>
      <c r="D32" s="1" t="n">
        <f aca="false">jaguaribe_80ml!D33/50</f>
        <v>0.4</v>
      </c>
      <c r="E32" s="1" t="n">
        <f aca="false">jaguaribe_80ml!E33/50</f>
        <v>0</v>
      </c>
      <c r="F32" s="1" t="n">
        <f aca="false">jaguaribe_80ml!F33/50</f>
        <v>0</v>
      </c>
      <c r="G32" s="1" t="n">
        <f aca="false">jaguaribe_80ml!G33/50</f>
        <v>0.04</v>
      </c>
      <c r="H32" s="1" t="n">
        <f aca="false">jaguaribe_80ml!H33/50</f>
        <v>0.02</v>
      </c>
      <c r="I32" s="1" t="n">
        <f aca="false">jaguaribe_80ml!I33/50</f>
        <v>0.04</v>
      </c>
      <c r="J32" s="1" t="n">
        <f aca="false">jaguaribe_80ml!J33/50</f>
        <v>0</v>
      </c>
      <c r="K32" s="1" t="n">
        <f aca="false">jaguaribe_80ml!K33/50</f>
        <v>0.06</v>
      </c>
      <c r="L32" s="1" t="n">
        <f aca="false">jaguaribe_80ml!L33/50</f>
        <v>0</v>
      </c>
      <c r="M32" s="1" t="n">
        <f aca="false">jaguaribe_80ml!M33/50</f>
        <v>2.02</v>
      </c>
      <c r="N32" s="1" t="n">
        <f aca="false">jaguaribe_80ml!N33/50</f>
        <v>0.04</v>
      </c>
      <c r="O32" s="1" t="n">
        <f aca="false">jaguaribe_80ml!O33/50</f>
        <v>0.08</v>
      </c>
      <c r="P32" s="1" t="n">
        <f aca="false">jaguaribe_80ml!P33/50</f>
        <v>0</v>
      </c>
      <c r="Q32" s="1" t="n">
        <f aca="false">jaguaribe_80ml!Q33/50</f>
        <v>0</v>
      </c>
      <c r="R32" s="1" t="n">
        <f aca="false">jaguaribe_80ml!R33/50</f>
        <v>0</v>
      </c>
      <c r="S32" s="1" t="n">
        <f aca="false">jaguaribe_80ml!S33/50</f>
        <v>0</v>
      </c>
      <c r="T32" s="1" t="n">
        <f aca="false">jaguaribe_80ml!T33/50</f>
        <v>0.02</v>
      </c>
      <c r="U32" s="1" t="n">
        <f aca="false">jaguaribe_80ml!U33/50</f>
        <v>0.42</v>
      </c>
      <c r="V32" s="1" t="n">
        <f aca="false">jaguaribe_80ml!V33/50</f>
        <v>0.04</v>
      </c>
      <c r="W32" s="1" t="n">
        <f aca="false">jaguaribe_80ml!W33/50</f>
        <v>0</v>
      </c>
      <c r="X32" s="1" t="n">
        <f aca="false">jaguaribe_80ml!X33/50</f>
        <v>0</v>
      </c>
      <c r="Y32" s="1" t="n">
        <f aca="false">jaguaribe_80ml!Y33/50</f>
        <v>0</v>
      </c>
      <c r="Z32" s="1" t="n">
        <f aca="false">jaguaribe_80ml!Z33/50</f>
        <v>0</v>
      </c>
      <c r="AA32" s="1" t="n">
        <f aca="false">jaguaribe_80ml!AA33/50</f>
        <v>0.3</v>
      </c>
      <c r="AB32" s="1" t="n">
        <f aca="false">jaguaribe_80ml!AB33/50</f>
        <v>0</v>
      </c>
      <c r="AC32" s="1" t="n">
        <f aca="false">jaguaribe_80ml!AC33/50</f>
        <v>0</v>
      </c>
      <c r="AD32" s="1" t="n">
        <f aca="false">jaguaribe_80ml!AD33/50</f>
        <v>0.12</v>
      </c>
      <c r="AE32" s="1" t="n">
        <f aca="false">jaguaribe_80ml!AE33/50</f>
        <v>0.02</v>
      </c>
      <c r="AF32" s="1" t="n">
        <f aca="false">jaguaribe_80ml!AF33/50</f>
        <v>0</v>
      </c>
      <c r="AG32" s="1" t="n">
        <f aca="false">jaguaribe_80ml!AG33/50</f>
        <v>0</v>
      </c>
      <c r="AH32" s="1" t="n">
        <f aca="false">jaguaribe_80ml!AH33/50</f>
        <v>0.02</v>
      </c>
      <c r="AI32" s="1" t="n">
        <f aca="false">jaguaribe_80ml!AI33/50</f>
        <v>0</v>
      </c>
      <c r="AJ32" s="1" t="n">
        <f aca="false">jaguaribe_80ml!AJ33/50</f>
        <v>0.04</v>
      </c>
      <c r="AK32" s="1" t="n">
        <f aca="false">jaguaribe_80ml!AK33/50</f>
        <v>0</v>
      </c>
      <c r="AL32" s="1" t="n">
        <f aca="false">jaguaribe_80ml!AL33/50</f>
        <v>0</v>
      </c>
      <c r="AM32" s="1" t="n">
        <f aca="false">jaguaribe_80ml!AM33/50</f>
        <v>0</v>
      </c>
      <c r="AN32" s="1" t="n">
        <f aca="false">jaguaribe_80ml!AN33/50</f>
        <v>0</v>
      </c>
      <c r="AO32" s="1" t="n">
        <f aca="false">jaguaribe_80ml!AO33/50</f>
        <v>0</v>
      </c>
      <c r="AP32" s="1" t="n">
        <f aca="false">jaguaribe_80ml!AP33/50</f>
        <v>0</v>
      </c>
      <c r="AQ32" s="1" t="n">
        <f aca="false">jaguaribe_80ml!AQ33/50</f>
        <v>0</v>
      </c>
      <c r="AR32" s="1" t="n">
        <f aca="false">jaguaribe_80ml!AR33/50</f>
        <v>0.12</v>
      </c>
      <c r="AS32" s="1" t="n">
        <f aca="false">jaguaribe_80ml!AS33/50</f>
        <v>0.06</v>
      </c>
      <c r="AT32" s="1" t="n">
        <f aca="false">jaguaribe_80ml!AT33/50</f>
        <v>15.28</v>
      </c>
      <c r="AU32" s="1" t="n">
        <f aca="false">jaguaribe_80ml!AU33/50</f>
        <v>0</v>
      </c>
      <c r="AV32" s="1" t="n">
        <f aca="false">jaguaribe_80ml!AV33/50</f>
        <v>0</v>
      </c>
      <c r="AW32" s="1" t="n">
        <f aca="false">jaguaribe_80ml!AW33/50</f>
        <v>0</v>
      </c>
      <c r="AX32" s="1" t="n">
        <f aca="false">jaguaribe_80ml!AX33/50</f>
        <v>0.14</v>
      </c>
      <c r="AY32" s="1" t="n">
        <f aca="false">jaguaribe_80ml!AY33/50</f>
        <v>0.56</v>
      </c>
      <c r="AZ32" s="1" t="n">
        <f aca="false">jaguaribe_80ml!AZ33/50</f>
        <v>0</v>
      </c>
      <c r="BA32" s="1" t="n">
        <f aca="false">jaguaribe_80ml!BA33/50</f>
        <v>0.08</v>
      </c>
      <c r="BB32" s="1" t="n">
        <f aca="false">jaguaribe_80ml!BB33/50</f>
        <v>0.16</v>
      </c>
      <c r="BC32" s="1" t="n">
        <f aca="false">jaguaribe_80ml!BC33/50</f>
        <v>0.94</v>
      </c>
      <c r="BD32" s="1" t="n">
        <f aca="false">jaguaribe_80ml!BD33/50</f>
        <v>0</v>
      </c>
      <c r="BE32" s="1" t="n">
        <f aca="false">jaguaribe_80ml!BE33/50</f>
        <v>0</v>
      </c>
    </row>
    <row r="33" customFormat="false" ht="12.8" hidden="false" customHeight="false" outlineLevel="0" collapsed="false">
      <c r="A33" s="1" t="s">
        <v>51</v>
      </c>
      <c r="B33" s="1" t="n">
        <f aca="false">jaguaribe_80ml!B34/50</f>
        <v>0</v>
      </c>
      <c r="C33" s="1" t="n">
        <f aca="false">jaguaribe_80ml!C34/50</f>
        <v>0</v>
      </c>
      <c r="D33" s="1" t="n">
        <f aca="false">jaguaribe_80ml!D34/50</f>
        <v>0.14</v>
      </c>
      <c r="E33" s="1" t="n">
        <f aca="false">jaguaribe_80ml!E34/50</f>
        <v>0</v>
      </c>
      <c r="F33" s="1" t="n">
        <f aca="false">jaguaribe_80ml!F34/50</f>
        <v>0.02</v>
      </c>
      <c r="G33" s="1" t="n">
        <f aca="false">jaguaribe_80ml!G34/50</f>
        <v>0.02</v>
      </c>
      <c r="H33" s="1" t="n">
        <f aca="false">jaguaribe_80ml!H34/50</f>
        <v>0</v>
      </c>
      <c r="I33" s="1" t="n">
        <f aca="false">jaguaribe_80ml!I34/50</f>
        <v>0.02</v>
      </c>
      <c r="J33" s="1" t="n">
        <f aca="false">jaguaribe_80ml!J34/50</f>
        <v>0</v>
      </c>
      <c r="K33" s="1" t="n">
        <f aca="false">jaguaribe_80ml!K34/50</f>
        <v>0</v>
      </c>
      <c r="L33" s="1" t="n">
        <f aca="false">jaguaribe_80ml!L34/50</f>
        <v>0</v>
      </c>
      <c r="M33" s="1" t="n">
        <f aca="false">jaguaribe_80ml!M34/50</f>
        <v>1.58</v>
      </c>
      <c r="N33" s="1" t="n">
        <f aca="false">jaguaribe_80ml!N34/50</f>
        <v>0</v>
      </c>
      <c r="O33" s="1" t="n">
        <f aca="false">jaguaribe_80ml!O34/50</f>
        <v>0.32</v>
      </c>
      <c r="P33" s="1" t="n">
        <f aca="false">jaguaribe_80ml!P34/50</f>
        <v>0</v>
      </c>
      <c r="Q33" s="1" t="n">
        <f aca="false">jaguaribe_80ml!Q34/50</f>
        <v>0</v>
      </c>
      <c r="R33" s="1" t="n">
        <f aca="false">jaguaribe_80ml!R34/50</f>
        <v>0</v>
      </c>
      <c r="S33" s="1" t="n">
        <f aca="false">jaguaribe_80ml!S34/50</f>
        <v>0</v>
      </c>
      <c r="T33" s="1" t="n">
        <f aca="false">jaguaribe_80ml!T34/50</f>
        <v>0.06</v>
      </c>
      <c r="U33" s="1" t="n">
        <f aca="false">jaguaribe_80ml!U34/50</f>
        <v>0.2</v>
      </c>
      <c r="V33" s="1" t="n">
        <f aca="false">jaguaribe_80ml!V34/50</f>
        <v>0</v>
      </c>
      <c r="W33" s="1" t="n">
        <f aca="false">jaguaribe_80ml!W34/50</f>
        <v>0</v>
      </c>
      <c r="X33" s="1" t="n">
        <f aca="false">jaguaribe_80ml!X34/50</f>
        <v>0</v>
      </c>
      <c r="Y33" s="1" t="n">
        <f aca="false">jaguaribe_80ml!Y34/50</f>
        <v>0</v>
      </c>
      <c r="Z33" s="1" t="n">
        <f aca="false">jaguaribe_80ml!Z34/50</f>
        <v>0</v>
      </c>
      <c r="AA33" s="1" t="n">
        <f aca="false">jaguaribe_80ml!AA34/50</f>
        <v>0.02</v>
      </c>
      <c r="AB33" s="1" t="n">
        <f aca="false">jaguaribe_80ml!AB34/50</f>
        <v>0</v>
      </c>
      <c r="AC33" s="1" t="n">
        <f aca="false">jaguaribe_80ml!AC34/50</f>
        <v>0</v>
      </c>
      <c r="AD33" s="1" t="n">
        <f aca="false">jaguaribe_80ml!AD34/50</f>
        <v>0.06</v>
      </c>
      <c r="AE33" s="1" t="n">
        <f aca="false">jaguaribe_80ml!AE34/50</f>
        <v>0.02</v>
      </c>
      <c r="AF33" s="1" t="n">
        <f aca="false">jaguaribe_80ml!AF34/50</f>
        <v>0</v>
      </c>
      <c r="AG33" s="1" t="n">
        <f aca="false">jaguaribe_80ml!AG34/50</f>
        <v>0</v>
      </c>
      <c r="AH33" s="1" t="n">
        <f aca="false">jaguaribe_80ml!AH34/50</f>
        <v>0.2</v>
      </c>
      <c r="AI33" s="1" t="n">
        <f aca="false">jaguaribe_80ml!AI34/50</f>
        <v>0.06</v>
      </c>
      <c r="AJ33" s="1" t="n">
        <f aca="false">jaguaribe_80ml!AJ34/50</f>
        <v>0.02</v>
      </c>
      <c r="AK33" s="1" t="n">
        <f aca="false">jaguaribe_80ml!AK34/50</f>
        <v>0</v>
      </c>
      <c r="AL33" s="1" t="n">
        <f aca="false">jaguaribe_80ml!AL34/50</f>
        <v>0</v>
      </c>
      <c r="AM33" s="1" t="n">
        <f aca="false">jaguaribe_80ml!AM34/50</f>
        <v>0.02</v>
      </c>
      <c r="AN33" s="1" t="n">
        <f aca="false">jaguaribe_80ml!AN34/50</f>
        <v>0</v>
      </c>
      <c r="AO33" s="1" t="n">
        <f aca="false">jaguaribe_80ml!AO34/50</f>
        <v>0.02</v>
      </c>
      <c r="AP33" s="1" t="n">
        <f aca="false">jaguaribe_80ml!AP34/50</f>
        <v>0</v>
      </c>
      <c r="AQ33" s="1" t="n">
        <f aca="false">jaguaribe_80ml!AQ34/50</f>
        <v>0</v>
      </c>
      <c r="AR33" s="1" t="n">
        <f aca="false">jaguaribe_80ml!AR34/50</f>
        <v>0.5</v>
      </c>
      <c r="AS33" s="1" t="n">
        <f aca="false">jaguaribe_80ml!AS34/50</f>
        <v>1.42</v>
      </c>
      <c r="AT33" s="1" t="n">
        <f aca="false">jaguaribe_80ml!AT34/50</f>
        <v>18.9</v>
      </c>
      <c r="AU33" s="1" t="n">
        <f aca="false">jaguaribe_80ml!AU34/50</f>
        <v>0</v>
      </c>
      <c r="AV33" s="1" t="n">
        <f aca="false">jaguaribe_80ml!AV34/50</f>
        <v>0.04</v>
      </c>
      <c r="AW33" s="1" t="n">
        <f aca="false">jaguaribe_80ml!AW34/50</f>
        <v>0.06</v>
      </c>
      <c r="AX33" s="1" t="n">
        <f aca="false">jaguaribe_80ml!AX34/50</f>
        <v>0.48</v>
      </c>
      <c r="AY33" s="1" t="n">
        <f aca="false">jaguaribe_80ml!AY34/50</f>
        <v>0</v>
      </c>
      <c r="AZ33" s="1" t="n">
        <f aca="false">jaguaribe_80ml!AZ34/50</f>
        <v>0</v>
      </c>
      <c r="BA33" s="1" t="n">
        <f aca="false">jaguaribe_80ml!BA34/50</f>
        <v>1.1</v>
      </c>
      <c r="BB33" s="1" t="n">
        <f aca="false">jaguaribe_80ml!BB34/50</f>
        <v>0.02</v>
      </c>
      <c r="BC33" s="1" t="n">
        <f aca="false">jaguaribe_80ml!BC34/50</f>
        <v>0.52</v>
      </c>
      <c r="BD33" s="1" t="n">
        <f aca="false">jaguaribe_80ml!BD34/50</f>
        <v>0.02</v>
      </c>
      <c r="BE33" s="1" t="n">
        <f aca="false">jaguaribe_80ml!BE34/50</f>
        <v>0.02</v>
      </c>
    </row>
    <row r="34" customFormat="false" ht="12.8" hidden="false" customHeight="false" outlineLevel="0" collapsed="false">
      <c r="A34" s="1" t="s">
        <v>52</v>
      </c>
      <c r="B34" s="1" t="n">
        <f aca="false">jaguaribe_80ml!B35/50</f>
        <v>0</v>
      </c>
      <c r="C34" s="1" t="n">
        <f aca="false">jaguaribe_80ml!C35/50</f>
        <v>0</v>
      </c>
      <c r="D34" s="1" t="n">
        <f aca="false">jaguaribe_80ml!D35/50</f>
        <v>0.24</v>
      </c>
      <c r="E34" s="1" t="n">
        <f aca="false">jaguaribe_80ml!E35/50</f>
        <v>0</v>
      </c>
      <c r="F34" s="1" t="n">
        <f aca="false">jaguaribe_80ml!F35/50</f>
        <v>0</v>
      </c>
      <c r="G34" s="1" t="n">
        <f aca="false">jaguaribe_80ml!G35/50</f>
        <v>0.06</v>
      </c>
      <c r="H34" s="1" t="n">
        <f aca="false">jaguaribe_80ml!H35/50</f>
        <v>0.02</v>
      </c>
      <c r="I34" s="1" t="n">
        <f aca="false">jaguaribe_80ml!I35/50</f>
        <v>0.06</v>
      </c>
      <c r="J34" s="1" t="n">
        <f aca="false">jaguaribe_80ml!J35/50</f>
        <v>0.02</v>
      </c>
      <c r="K34" s="1" t="n">
        <f aca="false">jaguaribe_80ml!K35/50</f>
        <v>0.04</v>
      </c>
      <c r="L34" s="1" t="n">
        <f aca="false">jaguaribe_80ml!L35/50</f>
        <v>0</v>
      </c>
      <c r="M34" s="1" t="n">
        <f aca="false">jaguaribe_80ml!M35/50</f>
        <v>2.88</v>
      </c>
      <c r="N34" s="1" t="n">
        <f aca="false">jaguaribe_80ml!N35/50</f>
        <v>0.02</v>
      </c>
      <c r="O34" s="1" t="n">
        <f aca="false">jaguaribe_80ml!O35/50</f>
        <v>0.06</v>
      </c>
      <c r="P34" s="1" t="n">
        <f aca="false">jaguaribe_80ml!P35/50</f>
        <v>0</v>
      </c>
      <c r="Q34" s="1" t="n">
        <f aca="false">jaguaribe_80ml!Q35/50</f>
        <v>0</v>
      </c>
      <c r="R34" s="1" t="n">
        <f aca="false">jaguaribe_80ml!R35/50</f>
        <v>0</v>
      </c>
      <c r="S34" s="1" t="n">
        <f aca="false">jaguaribe_80ml!S35/50</f>
        <v>0</v>
      </c>
      <c r="T34" s="1" t="n">
        <f aca="false">jaguaribe_80ml!T35/50</f>
        <v>0.08</v>
      </c>
      <c r="U34" s="1" t="n">
        <f aca="false">jaguaribe_80ml!U35/50</f>
        <v>0.22</v>
      </c>
      <c r="V34" s="1" t="n">
        <f aca="false">jaguaribe_80ml!V35/50</f>
        <v>0</v>
      </c>
      <c r="W34" s="1" t="n">
        <f aca="false">jaguaribe_80ml!W35/50</f>
        <v>0</v>
      </c>
      <c r="X34" s="1" t="n">
        <f aca="false">jaguaribe_80ml!X35/50</f>
        <v>0</v>
      </c>
      <c r="Y34" s="1" t="n">
        <f aca="false">jaguaribe_80ml!Y35/50</f>
        <v>0</v>
      </c>
      <c r="Z34" s="1" t="n">
        <f aca="false">jaguaribe_80ml!Z35/50</f>
        <v>0</v>
      </c>
      <c r="AA34" s="1" t="n">
        <f aca="false">jaguaribe_80ml!AA35/50</f>
        <v>0.26</v>
      </c>
      <c r="AB34" s="1" t="n">
        <f aca="false">jaguaribe_80ml!AB35/50</f>
        <v>0</v>
      </c>
      <c r="AC34" s="1" t="n">
        <f aca="false">jaguaribe_80ml!AC35/50</f>
        <v>0</v>
      </c>
      <c r="AD34" s="1" t="n">
        <f aca="false">jaguaribe_80ml!AD35/50</f>
        <v>0.08</v>
      </c>
      <c r="AE34" s="1" t="n">
        <f aca="false">jaguaribe_80ml!AE35/50</f>
        <v>0.04</v>
      </c>
      <c r="AF34" s="1" t="n">
        <f aca="false">jaguaribe_80ml!AF35/50</f>
        <v>0.06</v>
      </c>
      <c r="AG34" s="1" t="n">
        <f aca="false">jaguaribe_80ml!AG35/50</f>
        <v>0</v>
      </c>
      <c r="AH34" s="1" t="n">
        <f aca="false">jaguaribe_80ml!AH35/50</f>
        <v>0.06</v>
      </c>
      <c r="AI34" s="1" t="n">
        <f aca="false">jaguaribe_80ml!AI35/50</f>
        <v>0.04</v>
      </c>
      <c r="AJ34" s="1" t="n">
        <f aca="false">jaguaribe_80ml!AJ35/50</f>
        <v>0.08</v>
      </c>
      <c r="AK34" s="1" t="n">
        <f aca="false">jaguaribe_80ml!AK35/50</f>
        <v>0</v>
      </c>
      <c r="AL34" s="1" t="n">
        <f aca="false">jaguaribe_80ml!AL35/50</f>
        <v>0</v>
      </c>
      <c r="AM34" s="1" t="n">
        <f aca="false">jaguaribe_80ml!AM35/50</f>
        <v>0.02</v>
      </c>
      <c r="AN34" s="1" t="n">
        <f aca="false">jaguaribe_80ml!AN35/50</f>
        <v>0</v>
      </c>
      <c r="AO34" s="1" t="n">
        <f aca="false">jaguaribe_80ml!AO35/50</f>
        <v>0</v>
      </c>
      <c r="AP34" s="1" t="n">
        <f aca="false">jaguaribe_80ml!AP35/50</f>
        <v>0</v>
      </c>
      <c r="AQ34" s="1" t="n">
        <f aca="false">jaguaribe_80ml!AQ35/50</f>
        <v>0</v>
      </c>
      <c r="AR34" s="1" t="n">
        <f aca="false">jaguaribe_80ml!AR35/50</f>
        <v>0.12</v>
      </c>
      <c r="AS34" s="1" t="n">
        <f aca="false">jaguaribe_80ml!AS35/50</f>
        <v>0.08</v>
      </c>
      <c r="AT34" s="1" t="n">
        <f aca="false">jaguaribe_80ml!AT35/50</f>
        <v>34.56</v>
      </c>
      <c r="AU34" s="1" t="n">
        <f aca="false">jaguaribe_80ml!AU35/50</f>
        <v>0</v>
      </c>
      <c r="AV34" s="1" t="n">
        <f aca="false">jaguaribe_80ml!AV35/50</f>
        <v>0</v>
      </c>
      <c r="AW34" s="1" t="n">
        <f aca="false">jaguaribe_80ml!AW35/50</f>
        <v>0</v>
      </c>
      <c r="AX34" s="1" t="n">
        <f aca="false">jaguaribe_80ml!AX35/50</f>
        <v>0.24</v>
      </c>
      <c r="AY34" s="1" t="n">
        <f aca="false">jaguaribe_80ml!AY35/50</f>
        <v>0.78</v>
      </c>
      <c r="AZ34" s="1" t="n">
        <f aca="false">jaguaribe_80ml!AZ35/50</f>
        <v>0</v>
      </c>
      <c r="BA34" s="1" t="n">
        <f aca="false">jaguaribe_80ml!BA35/50</f>
        <v>0.12</v>
      </c>
      <c r="BB34" s="1" t="n">
        <f aca="false">jaguaribe_80ml!BB35/50</f>
        <v>0.06</v>
      </c>
      <c r="BC34" s="1" t="n">
        <f aca="false">jaguaribe_80ml!BC35/50</f>
        <v>0.76</v>
      </c>
      <c r="BD34" s="1" t="n">
        <f aca="false">jaguaribe_80ml!BD35/50</f>
        <v>0.02</v>
      </c>
      <c r="BE34" s="1" t="n">
        <f aca="false">jaguaribe_80ml!BE35/50</f>
        <v>0</v>
      </c>
    </row>
    <row r="35" customFormat="false" ht="12.8" hidden="false" customHeight="false" outlineLevel="0" collapsed="false">
      <c r="A35" s="1" t="s">
        <v>53</v>
      </c>
      <c r="B35" s="1" t="n">
        <f aca="false">jaguaribe_80ml!B36/50</f>
        <v>0.02</v>
      </c>
      <c r="C35" s="1" t="n">
        <f aca="false">jaguaribe_80ml!C36/50</f>
        <v>0</v>
      </c>
      <c r="D35" s="1" t="n">
        <f aca="false">jaguaribe_80ml!D36/50</f>
        <v>0.2</v>
      </c>
      <c r="E35" s="1" t="n">
        <f aca="false">jaguaribe_80ml!E36/50</f>
        <v>0.32</v>
      </c>
      <c r="F35" s="1" t="n">
        <f aca="false">jaguaribe_80ml!F36/50</f>
        <v>0.2</v>
      </c>
      <c r="G35" s="1" t="n">
        <f aca="false">jaguaribe_80ml!G36/50</f>
        <v>0</v>
      </c>
      <c r="H35" s="1" t="n">
        <f aca="false">jaguaribe_80ml!H36/50</f>
        <v>1.6</v>
      </c>
      <c r="I35" s="1" t="n">
        <f aca="false">jaguaribe_80ml!I36/50</f>
        <v>0.02</v>
      </c>
      <c r="J35" s="1" t="n">
        <f aca="false">jaguaribe_80ml!J36/50</f>
        <v>0.46</v>
      </c>
      <c r="K35" s="1" t="n">
        <f aca="false">jaguaribe_80ml!K36/50</f>
        <v>0.14</v>
      </c>
      <c r="L35" s="1" t="n">
        <f aca="false">jaguaribe_80ml!L36/50</f>
        <v>0</v>
      </c>
      <c r="M35" s="1" t="n">
        <f aca="false">jaguaribe_80ml!M36/50</f>
        <v>0.12</v>
      </c>
      <c r="N35" s="1" t="n">
        <f aca="false">jaguaribe_80ml!N36/50</f>
        <v>0</v>
      </c>
      <c r="O35" s="1" t="n">
        <f aca="false">jaguaribe_80ml!O36/50</f>
        <v>0</v>
      </c>
      <c r="P35" s="1" t="n">
        <f aca="false">jaguaribe_80ml!P36/50</f>
        <v>0</v>
      </c>
      <c r="Q35" s="1" t="n">
        <f aca="false">jaguaribe_80ml!Q36/50</f>
        <v>0</v>
      </c>
      <c r="R35" s="1" t="n">
        <f aca="false">jaguaribe_80ml!R36/50</f>
        <v>0</v>
      </c>
      <c r="S35" s="1" t="n">
        <f aca="false">jaguaribe_80ml!S36/50</f>
        <v>0</v>
      </c>
      <c r="T35" s="1" t="n">
        <f aca="false">jaguaribe_80ml!T36/50</f>
        <v>0</v>
      </c>
      <c r="U35" s="1" t="n">
        <f aca="false">jaguaribe_80ml!U36/50</f>
        <v>2.08</v>
      </c>
      <c r="V35" s="1" t="n">
        <f aca="false">jaguaribe_80ml!V36/50</f>
        <v>0</v>
      </c>
      <c r="W35" s="1" t="n">
        <f aca="false">jaguaribe_80ml!W36/50</f>
        <v>0</v>
      </c>
      <c r="X35" s="1" t="n">
        <f aca="false">jaguaribe_80ml!X36/50</f>
        <v>0</v>
      </c>
      <c r="Y35" s="1" t="n">
        <f aca="false">jaguaribe_80ml!Y36/50</f>
        <v>0.02</v>
      </c>
      <c r="Z35" s="1" t="n">
        <f aca="false">jaguaribe_80ml!Z36/50</f>
        <v>0.02</v>
      </c>
      <c r="AA35" s="1" t="n">
        <f aca="false">jaguaribe_80ml!AA36/50</f>
        <v>1.18</v>
      </c>
      <c r="AB35" s="1" t="n">
        <f aca="false">jaguaribe_80ml!AB36/50</f>
        <v>0</v>
      </c>
      <c r="AC35" s="1" t="n">
        <f aca="false">jaguaribe_80ml!AC36/50</f>
        <v>0</v>
      </c>
      <c r="AD35" s="1" t="n">
        <f aca="false">jaguaribe_80ml!AD36/50</f>
        <v>0.06</v>
      </c>
      <c r="AE35" s="1" t="n">
        <f aca="false">jaguaribe_80ml!AE36/50</f>
        <v>0</v>
      </c>
      <c r="AF35" s="1" t="n">
        <f aca="false">jaguaribe_80ml!AF36/50</f>
        <v>0</v>
      </c>
      <c r="AG35" s="1" t="n">
        <f aca="false">jaguaribe_80ml!AG36/50</f>
        <v>0</v>
      </c>
      <c r="AH35" s="1" t="n">
        <f aca="false">jaguaribe_80ml!AH36/50</f>
        <v>0.02</v>
      </c>
      <c r="AI35" s="1" t="n">
        <f aca="false">jaguaribe_80ml!AI36/50</f>
        <v>0.02</v>
      </c>
      <c r="AJ35" s="1" t="n">
        <f aca="false">jaguaribe_80ml!AJ36/50</f>
        <v>0.02</v>
      </c>
      <c r="AK35" s="1" t="n">
        <f aca="false">jaguaribe_80ml!AK36/50</f>
        <v>0</v>
      </c>
      <c r="AL35" s="1" t="n">
        <f aca="false">jaguaribe_80ml!AL36/50</f>
        <v>0</v>
      </c>
      <c r="AM35" s="1" t="n">
        <f aca="false">jaguaribe_80ml!AM36/50</f>
        <v>0</v>
      </c>
      <c r="AN35" s="1" t="n">
        <f aca="false">jaguaribe_80ml!AN36/50</f>
        <v>0</v>
      </c>
      <c r="AO35" s="1" t="n">
        <f aca="false">jaguaribe_80ml!AO36/50</f>
        <v>0</v>
      </c>
      <c r="AP35" s="1" t="n">
        <f aca="false">jaguaribe_80ml!AP36/50</f>
        <v>0</v>
      </c>
      <c r="AQ35" s="1" t="n">
        <f aca="false">jaguaribe_80ml!AQ36/50</f>
        <v>0</v>
      </c>
      <c r="AR35" s="1" t="n">
        <f aca="false">jaguaribe_80ml!AR36/50</f>
        <v>0.02</v>
      </c>
      <c r="AS35" s="1" t="n">
        <f aca="false">jaguaribe_80ml!AS36/50</f>
        <v>0</v>
      </c>
      <c r="AT35" s="1" t="n">
        <f aca="false">jaguaribe_80ml!AT36/50</f>
        <v>0.5</v>
      </c>
      <c r="AU35" s="1" t="n">
        <f aca="false">jaguaribe_80ml!AU36/50</f>
        <v>0</v>
      </c>
      <c r="AV35" s="1" t="n">
        <f aca="false">jaguaribe_80ml!AV36/50</f>
        <v>0</v>
      </c>
      <c r="AW35" s="1" t="n">
        <f aca="false">jaguaribe_80ml!AW36/50</f>
        <v>0</v>
      </c>
      <c r="AX35" s="1" t="n">
        <f aca="false">jaguaribe_80ml!AX36/50</f>
        <v>0.34</v>
      </c>
      <c r="AY35" s="1" t="n">
        <f aca="false">jaguaribe_80ml!AY36/50</f>
        <v>0.08</v>
      </c>
      <c r="AZ35" s="1" t="n">
        <f aca="false">jaguaribe_80ml!AZ36/50</f>
        <v>0.02</v>
      </c>
      <c r="BA35" s="1" t="n">
        <f aca="false">jaguaribe_80ml!BA36/50</f>
        <v>0.1</v>
      </c>
      <c r="BB35" s="1" t="n">
        <f aca="false">jaguaribe_80ml!BB36/50</f>
        <v>0.06</v>
      </c>
      <c r="BC35" s="1" t="n">
        <f aca="false">jaguaribe_80ml!BC36/50</f>
        <v>0.06</v>
      </c>
      <c r="BD35" s="1" t="n">
        <f aca="false">jaguaribe_80ml!BD36/50</f>
        <v>0.02</v>
      </c>
      <c r="BE35" s="1" t="n">
        <f aca="false">jaguaribe_80ml!BE36/50</f>
        <v>0</v>
      </c>
    </row>
    <row r="36" customFormat="false" ht="12.8" hidden="false" customHeight="false" outlineLevel="0" collapsed="false">
      <c r="A36" s="1" t="s">
        <v>54</v>
      </c>
      <c r="B36" s="1" t="n">
        <f aca="false">jaguaribe_80ml!B37/50</f>
        <v>0</v>
      </c>
      <c r="C36" s="1" t="n">
        <f aca="false">jaguaribe_80ml!C37/50</f>
        <v>0</v>
      </c>
      <c r="D36" s="1" t="n">
        <f aca="false">jaguaribe_80ml!D37/50</f>
        <v>0.08</v>
      </c>
      <c r="E36" s="1" t="n">
        <f aca="false">jaguaribe_80ml!E37/50</f>
        <v>0.56</v>
      </c>
      <c r="F36" s="1" t="n">
        <f aca="false">jaguaribe_80ml!F37/50</f>
        <v>0.32</v>
      </c>
      <c r="G36" s="1" t="n">
        <f aca="false">jaguaribe_80ml!G37/50</f>
        <v>0</v>
      </c>
      <c r="H36" s="1" t="n">
        <f aca="false">jaguaribe_80ml!H37/50</f>
        <v>1.56</v>
      </c>
      <c r="I36" s="1" t="n">
        <f aca="false">jaguaribe_80ml!I37/50</f>
        <v>0</v>
      </c>
      <c r="J36" s="1" t="n">
        <f aca="false">jaguaribe_80ml!J37/50</f>
        <v>0.5</v>
      </c>
      <c r="K36" s="1" t="n">
        <f aca="false">jaguaribe_80ml!K37/50</f>
        <v>0.06</v>
      </c>
      <c r="L36" s="1" t="n">
        <f aca="false">jaguaribe_80ml!L37/50</f>
        <v>0</v>
      </c>
      <c r="M36" s="1" t="n">
        <f aca="false">jaguaribe_80ml!M37/50</f>
        <v>0.06</v>
      </c>
      <c r="N36" s="1" t="n">
        <f aca="false">jaguaribe_80ml!N37/50</f>
        <v>0</v>
      </c>
      <c r="O36" s="1" t="n">
        <f aca="false">jaguaribe_80ml!O37/50</f>
        <v>0</v>
      </c>
      <c r="P36" s="1" t="n">
        <f aca="false">jaguaribe_80ml!P37/50</f>
        <v>0</v>
      </c>
      <c r="Q36" s="1" t="n">
        <f aca="false">jaguaribe_80ml!Q37/50</f>
        <v>0</v>
      </c>
      <c r="R36" s="1" t="n">
        <f aca="false">jaguaribe_80ml!R37/50</f>
        <v>0</v>
      </c>
      <c r="S36" s="1" t="n">
        <f aca="false">jaguaribe_80ml!S37/50</f>
        <v>0</v>
      </c>
      <c r="T36" s="1" t="n">
        <f aca="false">jaguaribe_80ml!T37/50</f>
        <v>0.02</v>
      </c>
      <c r="U36" s="1" t="n">
        <f aca="false">jaguaribe_80ml!U37/50</f>
        <v>1.68</v>
      </c>
      <c r="V36" s="1" t="n">
        <f aca="false">jaguaribe_80ml!V37/50</f>
        <v>0</v>
      </c>
      <c r="W36" s="1" t="n">
        <f aca="false">jaguaribe_80ml!W37/50</f>
        <v>0</v>
      </c>
      <c r="X36" s="1" t="n">
        <f aca="false">jaguaribe_80ml!X37/50</f>
        <v>0</v>
      </c>
      <c r="Y36" s="1" t="n">
        <f aca="false">jaguaribe_80ml!Y37/50</f>
        <v>0.1</v>
      </c>
      <c r="Z36" s="1" t="n">
        <f aca="false">jaguaribe_80ml!Z37/50</f>
        <v>0.14</v>
      </c>
      <c r="AA36" s="1" t="n">
        <f aca="false">jaguaribe_80ml!AA37/50</f>
        <v>1.24</v>
      </c>
      <c r="AB36" s="1" t="n">
        <f aca="false">jaguaribe_80ml!AB37/50</f>
        <v>0</v>
      </c>
      <c r="AC36" s="1" t="n">
        <f aca="false">jaguaribe_80ml!AC37/50</f>
        <v>0</v>
      </c>
      <c r="AD36" s="1" t="n">
        <f aca="false">jaguaribe_80ml!AD37/50</f>
        <v>0.02</v>
      </c>
      <c r="AE36" s="1" t="n">
        <f aca="false">jaguaribe_80ml!AE37/50</f>
        <v>0</v>
      </c>
      <c r="AF36" s="1" t="n">
        <f aca="false">jaguaribe_80ml!AF37/50</f>
        <v>0</v>
      </c>
      <c r="AG36" s="1" t="n">
        <f aca="false">jaguaribe_80ml!AG37/50</f>
        <v>0</v>
      </c>
      <c r="AH36" s="1" t="n">
        <f aca="false">jaguaribe_80ml!AH37/50</f>
        <v>0</v>
      </c>
      <c r="AI36" s="1" t="n">
        <f aca="false">jaguaribe_80ml!AI37/50</f>
        <v>0.02</v>
      </c>
      <c r="AJ36" s="1" t="n">
        <f aca="false">jaguaribe_80ml!AJ37/50</f>
        <v>0</v>
      </c>
      <c r="AK36" s="1" t="n">
        <f aca="false">jaguaribe_80ml!AK37/50</f>
        <v>0</v>
      </c>
      <c r="AL36" s="1" t="n">
        <f aca="false">jaguaribe_80ml!AL37/50</f>
        <v>0</v>
      </c>
      <c r="AM36" s="1" t="n">
        <f aca="false">jaguaribe_80ml!AM37/50</f>
        <v>0</v>
      </c>
      <c r="AN36" s="1" t="n">
        <f aca="false">jaguaribe_80ml!AN37/50</f>
        <v>0</v>
      </c>
      <c r="AO36" s="1" t="n">
        <f aca="false">jaguaribe_80ml!AO37/50</f>
        <v>0</v>
      </c>
      <c r="AP36" s="1" t="n">
        <f aca="false">jaguaribe_80ml!AP37/50</f>
        <v>0</v>
      </c>
      <c r="AQ36" s="1" t="n">
        <f aca="false">jaguaribe_80ml!AQ37/50</f>
        <v>0</v>
      </c>
      <c r="AR36" s="1" t="n">
        <f aca="false">jaguaribe_80ml!AR37/50</f>
        <v>0.02</v>
      </c>
      <c r="AS36" s="1" t="n">
        <f aca="false">jaguaribe_80ml!AS37/50</f>
        <v>0</v>
      </c>
      <c r="AT36" s="1" t="n">
        <f aca="false">jaguaribe_80ml!AT37/50</f>
        <v>0.38</v>
      </c>
      <c r="AU36" s="1" t="n">
        <f aca="false">jaguaribe_80ml!AU37/50</f>
        <v>0</v>
      </c>
      <c r="AV36" s="1" t="n">
        <f aca="false">jaguaribe_80ml!AV37/50</f>
        <v>0</v>
      </c>
      <c r="AW36" s="1" t="n">
        <f aca="false">jaguaribe_80ml!AW37/50</f>
        <v>0</v>
      </c>
      <c r="AX36" s="1" t="n">
        <f aca="false">jaguaribe_80ml!AX37/50</f>
        <v>0.28</v>
      </c>
      <c r="AY36" s="1" t="n">
        <f aca="false">jaguaribe_80ml!AY37/50</f>
        <v>0.14</v>
      </c>
      <c r="AZ36" s="1" t="n">
        <f aca="false">jaguaribe_80ml!AZ37/50</f>
        <v>0</v>
      </c>
      <c r="BA36" s="1" t="n">
        <f aca="false">jaguaribe_80ml!BA37/50</f>
        <v>0.12</v>
      </c>
      <c r="BB36" s="1" t="n">
        <f aca="false">jaguaribe_80ml!BB37/50</f>
        <v>0.04</v>
      </c>
      <c r="BC36" s="1" t="n">
        <f aca="false">jaguaribe_80ml!BC37/50</f>
        <v>0.2</v>
      </c>
      <c r="BD36" s="1" t="n">
        <f aca="false">jaguaribe_80ml!BD37/50</f>
        <v>0.02</v>
      </c>
      <c r="BE36" s="1" t="n">
        <f aca="false">jaguaribe_80ml!BE37/50</f>
        <v>0</v>
      </c>
    </row>
    <row r="37" customFormat="false" ht="12.8" hidden="false" customHeight="false" outlineLevel="0" collapsed="false">
      <c r="A37" s="1" t="s">
        <v>55</v>
      </c>
      <c r="B37" s="1" t="n">
        <f aca="false">jaguaribe_80ml!B38/50</f>
        <v>0</v>
      </c>
      <c r="C37" s="1" t="n">
        <f aca="false">jaguaribe_80ml!C38/50</f>
        <v>0</v>
      </c>
      <c r="D37" s="1" t="n">
        <f aca="false">jaguaribe_80ml!D38/50</f>
        <v>0.04</v>
      </c>
      <c r="E37" s="1" t="n">
        <f aca="false">jaguaribe_80ml!E38/50</f>
        <v>2.22</v>
      </c>
      <c r="F37" s="1" t="n">
        <f aca="false">jaguaribe_80ml!F38/50</f>
        <v>0.4</v>
      </c>
      <c r="G37" s="1" t="n">
        <f aca="false">jaguaribe_80ml!G38/50</f>
        <v>0.22</v>
      </c>
      <c r="H37" s="1" t="n">
        <f aca="false">jaguaribe_80ml!H38/50</f>
        <v>2.7</v>
      </c>
      <c r="I37" s="1" t="n">
        <f aca="false">jaguaribe_80ml!I38/50</f>
        <v>0.02</v>
      </c>
      <c r="J37" s="1" t="n">
        <f aca="false">jaguaribe_80ml!J38/50</f>
        <v>0.68</v>
      </c>
      <c r="K37" s="1" t="n">
        <f aca="false">jaguaribe_80ml!K38/50</f>
        <v>0.08</v>
      </c>
      <c r="L37" s="1" t="n">
        <f aca="false">jaguaribe_80ml!L38/50</f>
        <v>0</v>
      </c>
      <c r="M37" s="1" t="n">
        <f aca="false">jaguaribe_80ml!M38/50</f>
        <v>0.26</v>
      </c>
      <c r="N37" s="1" t="n">
        <f aca="false">jaguaribe_80ml!N38/50</f>
        <v>0</v>
      </c>
      <c r="O37" s="1" t="n">
        <f aca="false">jaguaribe_80ml!O38/50</f>
        <v>0.04</v>
      </c>
      <c r="P37" s="1" t="n">
        <f aca="false">jaguaribe_80ml!P38/50</f>
        <v>0.02</v>
      </c>
      <c r="Q37" s="1" t="n">
        <f aca="false">jaguaribe_80ml!Q38/50</f>
        <v>0</v>
      </c>
      <c r="R37" s="1" t="n">
        <f aca="false">jaguaribe_80ml!R38/50</f>
        <v>0</v>
      </c>
      <c r="S37" s="1" t="n">
        <f aca="false">jaguaribe_80ml!S38/50</f>
        <v>0</v>
      </c>
      <c r="T37" s="1" t="n">
        <f aca="false">jaguaribe_80ml!T38/50</f>
        <v>0.02</v>
      </c>
      <c r="U37" s="1" t="n">
        <f aca="false">jaguaribe_80ml!U38/50</f>
        <v>10.7</v>
      </c>
      <c r="V37" s="1" t="n">
        <f aca="false">jaguaribe_80ml!V38/50</f>
        <v>0</v>
      </c>
      <c r="W37" s="1" t="n">
        <f aca="false">jaguaribe_80ml!W38/50</f>
        <v>0</v>
      </c>
      <c r="X37" s="1" t="n">
        <f aca="false">jaguaribe_80ml!X38/50</f>
        <v>0</v>
      </c>
      <c r="Y37" s="1" t="n">
        <f aca="false">jaguaribe_80ml!Y38/50</f>
        <v>0.06</v>
      </c>
      <c r="Z37" s="1" t="n">
        <f aca="false">jaguaribe_80ml!Z38/50</f>
        <v>0.08</v>
      </c>
      <c r="AA37" s="1" t="n">
        <f aca="false">jaguaribe_80ml!AA38/50</f>
        <v>1.34</v>
      </c>
      <c r="AB37" s="1" t="n">
        <f aca="false">jaguaribe_80ml!AB38/50</f>
        <v>0</v>
      </c>
      <c r="AC37" s="1" t="n">
        <f aca="false">jaguaribe_80ml!AC38/50</f>
        <v>0</v>
      </c>
      <c r="AD37" s="1" t="n">
        <f aca="false">jaguaribe_80ml!AD38/50</f>
        <v>0.02</v>
      </c>
      <c r="AE37" s="1" t="n">
        <f aca="false">jaguaribe_80ml!AE38/50</f>
        <v>0</v>
      </c>
      <c r="AF37" s="1" t="n">
        <f aca="false">jaguaribe_80ml!AF38/50</f>
        <v>0.04</v>
      </c>
      <c r="AG37" s="1" t="n">
        <f aca="false">jaguaribe_80ml!AG38/50</f>
        <v>0</v>
      </c>
      <c r="AH37" s="1" t="n">
        <f aca="false">jaguaribe_80ml!AH38/50</f>
        <v>0.02</v>
      </c>
      <c r="AI37" s="1" t="n">
        <f aca="false">jaguaribe_80ml!AI38/50</f>
        <v>0</v>
      </c>
      <c r="AJ37" s="1" t="n">
        <f aca="false">jaguaribe_80ml!AJ38/50</f>
        <v>0.02</v>
      </c>
      <c r="AK37" s="1" t="n">
        <f aca="false">jaguaribe_80ml!AK38/50</f>
        <v>0</v>
      </c>
      <c r="AL37" s="1" t="n">
        <f aca="false">jaguaribe_80ml!AL38/50</f>
        <v>0</v>
      </c>
      <c r="AM37" s="1" t="n">
        <f aca="false">jaguaribe_80ml!AM38/50</f>
        <v>0</v>
      </c>
      <c r="AN37" s="1" t="n">
        <f aca="false">jaguaribe_80ml!AN38/50</f>
        <v>0</v>
      </c>
      <c r="AO37" s="1" t="n">
        <f aca="false">jaguaribe_80ml!AO38/50</f>
        <v>0</v>
      </c>
      <c r="AP37" s="1" t="n">
        <f aca="false">jaguaribe_80ml!AP38/50</f>
        <v>0</v>
      </c>
      <c r="AQ37" s="1" t="n">
        <f aca="false">jaguaribe_80ml!AQ38/50</f>
        <v>0</v>
      </c>
      <c r="AR37" s="1" t="n">
        <f aca="false">jaguaribe_80ml!AR38/50</f>
        <v>0.02</v>
      </c>
      <c r="AS37" s="1" t="n">
        <f aca="false">jaguaribe_80ml!AS38/50</f>
        <v>0</v>
      </c>
      <c r="AT37" s="1" t="n">
        <f aca="false">jaguaribe_80ml!AT38/50</f>
        <v>2.22</v>
      </c>
      <c r="AU37" s="1" t="n">
        <f aca="false">jaguaribe_80ml!AU38/50</f>
        <v>0</v>
      </c>
      <c r="AV37" s="1" t="n">
        <f aca="false">jaguaribe_80ml!AV38/50</f>
        <v>0</v>
      </c>
      <c r="AW37" s="1" t="n">
        <f aca="false">jaguaribe_80ml!AW38/50</f>
        <v>0</v>
      </c>
      <c r="AX37" s="1" t="n">
        <f aca="false">jaguaribe_80ml!AX38/50</f>
        <v>0.76</v>
      </c>
      <c r="AY37" s="1" t="n">
        <f aca="false">jaguaribe_80ml!AY38/50</f>
        <v>0.1</v>
      </c>
      <c r="AZ37" s="1" t="n">
        <f aca="false">jaguaribe_80ml!AZ38/50</f>
        <v>0</v>
      </c>
      <c r="BA37" s="1" t="n">
        <f aca="false">jaguaribe_80ml!BA38/50</f>
        <v>0.12</v>
      </c>
      <c r="BB37" s="1" t="n">
        <f aca="false">jaguaribe_80ml!BB38/50</f>
        <v>0.14</v>
      </c>
      <c r="BC37" s="1" t="n">
        <f aca="false">jaguaribe_80ml!BC38/50</f>
        <v>0.08</v>
      </c>
      <c r="BD37" s="1" t="n">
        <f aca="false">jaguaribe_80ml!BD38/50</f>
        <v>0</v>
      </c>
      <c r="BE37" s="1" t="n">
        <f aca="false">jaguaribe_80ml!BE38/50</f>
        <v>0</v>
      </c>
    </row>
    <row r="38" customFormat="false" ht="12.8" hidden="false" customHeight="false" outlineLevel="0" collapsed="false">
      <c r="A38" s="1" t="s">
        <v>56</v>
      </c>
      <c r="B38" s="1" t="n">
        <f aca="false">jaguaribe_80ml!B39/50</f>
        <v>0</v>
      </c>
      <c r="C38" s="1" t="n">
        <f aca="false">jaguaribe_80ml!C39/50</f>
        <v>0</v>
      </c>
      <c r="D38" s="1" t="n">
        <f aca="false">jaguaribe_80ml!D39/50</f>
        <v>0.28</v>
      </c>
      <c r="E38" s="1" t="n">
        <f aca="false">jaguaribe_80ml!E39/50</f>
        <v>1.54</v>
      </c>
      <c r="F38" s="1" t="n">
        <f aca="false">jaguaribe_80ml!F39/50</f>
        <v>0.16</v>
      </c>
      <c r="G38" s="1" t="n">
        <f aca="false">jaguaribe_80ml!G39/50</f>
        <v>0.08</v>
      </c>
      <c r="H38" s="1" t="n">
        <f aca="false">jaguaribe_80ml!H39/50</f>
        <v>1.68</v>
      </c>
      <c r="I38" s="1" t="n">
        <f aca="false">jaguaribe_80ml!I39/50</f>
        <v>0.04</v>
      </c>
      <c r="J38" s="1" t="n">
        <f aca="false">jaguaribe_80ml!J39/50</f>
        <v>0.38</v>
      </c>
      <c r="K38" s="1" t="n">
        <f aca="false">jaguaribe_80ml!K39/50</f>
        <v>0.18</v>
      </c>
      <c r="L38" s="1" t="n">
        <f aca="false">jaguaribe_80ml!L39/50</f>
        <v>0</v>
      </c>
      <c r="M38" s="1" t="n">
        <f aca="false">jaguaribe_80ml!M39/50</f>
        <v>0.04</v>
      </c>
      <c r="N38" s="1" t="n">
        <f aca="false">jaguaribe_80ml!N39/50</f>
        <v>0</v>
      </c>
      <c r="O38" s="1" t="n">
        <f aca="false">jaguaribe_80ml!O39/50</f>
        <v>0</v>
      </c>
      <c r="P38" s="1" t="n">
        <f aca="false">jaguaribe_80ml!P39/50</f>
        <v>0</v>
      </c>
      <c r="Q38" s="1" t="n">
        <f aca="false">jaguaribe_80ml!Q39/50</f>
        <v>0</v>
      </c>
      <c r="R38" s="1" t="n">
        <f aca="false">jaguaribe_80ml!R39/50</f>
        <v>0</v>
      </c>
      <c r="S38" s="1" t="n">
        <f aca="false">jaguaribe_80ml!S39/50</f>
        <v>0</v>
      </c>
      <c r="T38" s="1" t="n">
        <f aca="false">jaguaribe_80ml!T39/50</f>
        <v>0.08</v>
      </c>
      <c r="U38" s="1" t="n">
        <f aca="false">jaguaribe_80ml!U39/50</f>
        <v>2.22</v>
      </c>
      <c r="V38" s="1" t="n">
        <f aca="false">jaguaribe_80ml!V39/50</f>
        <v>0</v>
      </c>
      <c r="W38" s="1" t="n">
        <f aca="false">jaguaribe_80ml!W39/50</f>
        <v>0</v>
      </c>
      <c r="X38" s="1" t="n">
        <f aca="false">jaguaribe_80ml!X39/50</f>
        <v>0</v>
      </c>
      <c r="Y38" s="1" t="n">
        <f aca="false">jaguaribe_80ml!Y39/50</f>
        <v>0.02</v>
      </c>
      <c r="Z38" s="1" t="n">
        <f aca="false">jaguaribe_80ml!Z39/50</f>
        <v>0.04</v>
      </c>
      <c r="AA38" s="1" t="n">
        <f aca="false">jaguaribe_80ml!AA39/50</f>
        <v>1.68</v>
      </c>
      <c r="AB38" s="1" t="n">
        <f aca="false">jaguaribe_80ml!AB39/50</f>
        <v>0</v>
      </c>
      <c r="AC38" s="1" t="n">
        <f aca="false">jaguaribe_80ml!AC39/50</f>
        <v>0</v>
      </c>
      <c r="AD38" s="1" t="n">
        <f aca="false">jaguaribe_80ml!AD39/50</f>
        <v>0.06</v>
      </c>
      <c r="AE38" s="1" t="n">
        <f aca="false">jaguaribe_80ml!AE39/50</f>
        <v>0</v>
      </c>
      <c r="AF38" s="1" t="n">
        <f aca="false">jaguaribe_80ml!AF39/50</f>
        <v>0.06</v>
      </c>
      <c r="AG38" s="1" t="n">
        <f aca="false">jaguaribe_80ml!AG39/50</f>
        <v>0</v>
      </c>
      <c r="AH38" s="1" t="n">
        <f aca="false">jaguaribe_80ml!AH39/50</f>
        <v>0.02</v>
      </c>
      <c r="AI38" s="1" t="n">
        <f aca="false">jaguaribe_80ml!AI39/50</f>
        <v>0</v>
      </c>
      <c r="AJ38" s="1" t="n">
        <f aca="false">jaguaribe_80ml!AJ39/50</f>
        <v>0</v>
      </c>
      <c r="AK38" s="1" t="n">
        <f aca="false">jaguaribe_80ml!AK39/50</f>
        <v>0</v>
      </c>
      <c r="AL38" s="1" t="n">
        <f aca="false">jaguaribe_80ml!AL39/50</f>
        <v>0</v>
      </c>
      <c r="AM38" s="1" t="n">
        <f aca="false">jaguaribe_80ml!AM39/50</f>
        <v>0.02</v>
      </c>
      <c r="AN38" s="1" t="n">
        <f aca="false">jaguaribe_80ml!AN39/50</f>
        <v>0</v>
      </c>
      <c r="AO38" s="1" t="n">
        <f aca="false">jaguaribe_80ml!AO39/50</f>
        <v>0</v>
      </c>
      <c r="AP38" s="1" t="n">
        <f aca="false">jaguaribe_80ml!AP39/50</f>
        <v>0</v>
      </c>
      <c r="AQ38" s="1" t="n">
        <f aca="false">jaguaribe_80ml!AQ39/50</f>
        <v>0</v>
      </c>
      <c r="AR38" s="1" t="n">
        <f aca="false">jaguaribe_80ml!AR39/50</f>
        <v>0.02</v>
      </c>
      <c r="AS38" s="1" t="n">
        <f aca="false">jaguaribe_80ml!AS39/50</f>
        <v>0.06</v>
      </c>
      <c r="AT38" s="1" t="n">
        <f aca="false">jaguaribe_80ml!AT39/50</f>
        <v>1.74</v>
      </c>
      <c r="AU38" s="1" t="n">
        <f aca="false">jaguaribe_80ml!AU39/50</f>
        <v>0</v>
      </c>
      <c r="AV38" s="1" t="n">
        <f aca="false">jaguaribe_80ml!AV39/50</f>
        <v>0</v>
      </c>
      <c r="AW38" s="1" t="n">
        <f aca="false">jaguaribe_80ml!AW39/50</f>
        <v>0</v>
      </c>
      <c r="AX38" s="1" t="n">
        <f aca="false">jaguaribe_80ml!AX39/50</f>
        <v>0.18</v>
      </c>
      <c r="AY38" s="1" t="n">
        <f aca="false">jaguaribe_80ml!AY39/50</f>
        <v>0.08</v>
      </c>
      <c r="AZ38" s="1" t="n">
        <f aca="false">jaguaribe_80ml!AZ39/50</f>
        <v>0</v>
      </c>
      <c r="BA38" s="1" t="n">
        <f aca="false">jaguaribe_80ml!BA39/50</f>
        <v>0.02</v>
      </c>
      <c r="BB38" s="1" t="n">
        <f aca="false">jaguaribe_80ml!BB39/50</f>
        <v>0</v>
      </c>
      <c r="BC38" s="1" t="n">
        <f aca="false">jaguaribe_80ml!BC39/50</f>
        <v>0.16</v>
      </c>
      <c r="BD38" s="1" t="n">
        <f aca="false">jaguaribe_80ml!BD39/50</f>
        <v>0.02</v>
      </c>
      <c r="BE38" s="1" t="n">
        <f aca="false">jaguaribe_80ml!BE39/50</f>
        <v>0</v>
      </c>
    </row>
    <row r="39" customFormat="false" ht="12.8" hidden="false" customHeight="false" outlineLevel="0" collapsed="false">
      <c r="A39" s="1" t="s">
        <v>57</v>
      </c>
      <c r="B39" s="1" t="n">
        <f aca="false">jaguaribe_80ml!B40/50</f>
        <v>0</v>
      </c>
      <c r="C39" s="1" t="n">
        <f aca="false">jaguaribe_80ml!C40/50</f>
        <v>0</v>
      </c>
      <c r="D39" s="1" t="n">
        <f aca="false">jaguaribe_80ml!D40/50</f>
        <v>0.08</v>
      </c>
      <c r="E39" s="1" t="n">
        <f aca="false">jaguaribe_80ml!E40/50</f>
        <v>0.76</v>
      </c>
      <c r="F39" s="1" t="n">
        <f aca="false">jaguaribe_80ml!F40/50</f>
        <v>0.3</v>
      </c>
      <c r="G39" s="1" t="n">
        <f aca="false">jaguaribe_80ml!G40/50</f>
        <v>0.06</v>
      </c>
      <c r="H39" s="1" t="n">
        <f aca="false">jaguaribe_80ml!H40/50</f>
        <v>1.42</v>
      </c>
      <c r="I39" s="1" t="n">
        <f aca="false">jaguaribe_80ml!I40/50</f>
        <v>0.02</v>
      </c>
      <c r="J39" s="1" t="n">
        <f aca="false">jaguaribe_80ml!J40/50</f>
        <v>0.52</v>
      </c>
      <c r="K39" s="1" t="n">
        <f aca="false">jaguaribe_80ml!K40/50</f>
        <v>0.1</v>
      </c>
      <c r="L39" s="1" t="n">
        <f aca="false">jaguaribe_80ml!L40/50</f>
        <v>0</v>
      </c>
      <c r="M39" s="1" t="n">
        <f aca="false">jaguaribe_80ml!M40/50</f>
        <v>0.04</v>
      </c>
      <c r="N39" s="1" t="n">
        <f aca="false">jaguaribe_80ml!N40/50</f>
        <v>0</v>
      </c>
      <c r="O39" s="1" t="n">
        <f aca="false">jaguaribe_80ml!O40/50</f>
        <v>0</v>
      </c>
      <c r="P39" s="1" t="n">
        <f aca="false">jaguaribe_80ml!P40/50</f>
        <v>0</v>
      </c>
      <c r="Q39" s="1" t="n">
        <f aca="false">jaguaribe_80ml!Q40/50</f>
        <v>0</v>
      </c>
      <c r="R39" s="1" t="n">
        <f aca="false">jaguaribe_80ml!R40/50</f>
        <v>0</v>
      </c>
      <c r="S39" s="1" t="n">
        <f aca="false">jaguaribe_80ml!S40/50</f>
        <v>0</v>
      </c>
      <c r="T39" s="1" t="n">
        <f aca="false">jaguaribe_80ml!T40/50</f>
        <v>0.02</v>
      </c>
      <c r="U39" s="1" t="n">
        <f aca="false">jaguaribe_80ml!U40/50</f>
        <v>1.4</v>
      </c>
      <c r="V39" s="1" t="n">
        <f aca="false">jaguaribe_80ml!V40/50</f>
        <v>0</v>
      </c>
      <c r="W39" s="1" t="n">
        <f aca="false">jaguaribe_80ml!W40/50</f>
        <v>0</v>
      </c>
      <c r="X39" s="1" t="n">
        <f aca="false">jaguaribe_80ml!X40/50</f>
        <v>0</v>
      </c>
      <c r="Y39" s="1" t="n">
        <f aca="false">jaguaribe_80ml!Y40/50</f>
        <v>0.18</v>
      </c>
      <c r="Z39" s="1" t="n">
        <f aca="false">jaguaribe_80ml!Z40/50</f>
        <v>0.04</v>
      </c>
      <c r="AA39" s="1" t="n">
        <f aca="false">jaguaribe_80ml!AA40/50</f>
        <v>1.72</v>
      </c>
      <c r="AB39" s="1" t="n">
        <f aca="false">jaguaribe_80ml!AB40/50</f>
        <v>0</v>
      </c>
      <c r="AC39" s="1" t="n">
        <f aca="false">jaguaribe_80ml!AC40/50</f>
        <v>0</v>
      </c>
      <c r="AD39" s="1" t="n">
        <f aca="false">jaguaribe_80ml!AD40/50</f>
        <v>0.02</v>
      </c>
      <c r="AE39" s="1" t="n">
        <f aca="false">jaguaribe_80ml!AE40/50</f>
        <v>0</v>
      </c>
      <c r="AF39" s="1" t="n">
        <f aca="false">jaguaribe_80ml!AF40/50</f>
        <v>0.04</v>
      </c>
      <c r="AG39" s="1" t="n">
        <f aca="false">jaguaribe_80ml!AG40/50</f>
        <v>0</v>
      </c>
      <c r="AH39" s="1" t="n">
        <f aca="false">jaguaribe_80ml!AH40/50</f>
        <v>0</v>
      </c>
      <c r="AI39" s="1" t="n">
        <f aca="false">jaguaribe_80ml!AI40/50</f>
        <v>0</v>
      </c>
      <c r="AJ39" s="1" t="n">
        <f aca="false">jaguaribe_80ml!AJ40/50</f>
        <v>0</v>
      </c>
      <c r="AK39" s="1" t="n">
        <f aca="false">jaguaribe_80ml!AK40/50</f>
        <v>0</v>
      </c>
      <c r="AL39" s="1" t="n">
        <f aca="false">jaguaribe_80ml!AL40/50</f>
        <v>0</v>
      </c>
      <c r="AM39" s="1" t="n">
        <f aca="false">jaguaribe_80ml!AM40/50</f>
        <v>0</v>
      </c>
      <c r="AN39" s="1" t="n">
        <f aca="false">jaguaribe_80ml!AN40/50</f>
        <v>0</v>
      </c>
      <c r="AO39" s="1" t="n">
        <f aca="false">jaguaribe_80ml!AO40/50</f>
        <v>0</v>
      </c>
      <c r="AP39" s="1" t="n">
        <f aca="false">jaguaribe_80ml!AP40/50</f>
        <v>0</v>
      </c>
      <c r="AQ39" s="1" t="n">
        <f aca="false">jaguaribe_80ml!AQ40/50</f>
        <v>0</v>
      </c>
      <c r="AR39" s="1" t="n">
        <f aca="false">jaguaribe_80ml!AR40/50</f>
        <v>0</v>
      </c>
      <c r="AS39" s="1" t="n">
        <f aca="false">jaguaribe_80ml!AS40/50</f>
        <v>0</v>
      </c>
      <c r="AT39" s="1" t="n">
        <f aca="false">jaguaribe_80ml!AT40/50</f>
        <v>0.82</v>
      </c>
      <c r="AU39" s="1" t="n">
        <f aca="false">jaguaribe_80ml!AU40/50</f>
        <v>0</v>
      </c>
      <c r="AV39" s="1" t="n">
        <f aca="false">jaguaribe_80ml!AV40/50</f>
        <v>0</v>
      </c>
      <c r="AW39" s="1" t="n">
        <f aca="false">jaguaribe_80ml!AW40/50</f>
        <v>0</v>
      </c>
      <c r="AX39" s="1" t="n">
        <f aca="false">jaguaribe_80ml!AX40/50</f>
        <v>0.14</v>
      </c>
      <c r="AY39" s="1" t="n">
        <f aca="false">jaguaribe_80ml!AY40/50</f>
        <v>0.04</v>
      </c>
      <c r="AZ39" s="1" t="n">
        <f aca="false">jaguaribe_80ml!AZ40/50</f>
        <v>0</v>
      </c>
      <c r="BA39" s="1" t="n">
        <f aca="false">jaguaribe_80ml!BA40/50</f>
        <v>0.04</v>
      </c>
      <c r="BB39" s="1" t="n">
        <f aca="false">jaguaribe_80ml!BB40/50</f>
        <v>0</v>
      </c>
      <c r="BC39" s="1" t="n">
        <f aca="false">jaguaribe_80ml!BC40/50</f>
        <v>0.42</v>
      </c>
      <c r="BD39" s="1" t="n">
        <f aca="false">jaguaribe_80ml!BD40/50</f>
        <v>0</v>
      </c>
      <c r="BE39" s="1" t="n">
        <f aca="false">jaguaribe_80ml!BE40/50</f>
        <v>0</v>
      </c>
    </row>
    <row r="40" customFormat="false" ht="12.8" hidden="false" customHeight="false" outlineLevel="0" collapsed="false">
      <c r="A40" s="1" t="s">
        <v>58</v>
      </c>
      <c r="B40" s="1" t="n">
        <f aca="false">jaguaribe_80ml!B41/50</f>
        <v>0</v>
      </c>
      <c r="C40" s="1" t="n">
        <f aca="false">jaguaribe_80ml!C41/50</f>
        <v>0</v>
      </c>
      <c r="D40" s="1" t="n">
        <f aca="false">jaguaribe_80ml!D41/50</f>
        <v>0.06</v>
      </c>
      <c r="E40" s="1" t="n">
        <f aca="false">jaguaribe_80ml!E41/50</f>
        <v>0.76</v>
      </c>
      <c r="F40" s="1" t="n">
        <f aca="false">jaguaribe_80ml!F41/50</f>
        <v>0.36</v>
      </c>
      <c r="G40" s="1" t="n">
        <f aca="false">jaguaribe_80ml!G41/50</f>
        <v>0.02</v>
      </c>
      <c r="H40" s="1" t="n">
        <f aca="false">jaguaribe_80ml!H41/50</f>
        <v>1.08</v>
      </c>
      <c r="I40" s="1" t="n">
        <f aca="false">jaguaribe_80ml!I41/50</f>
        <v>0</v>
      </c>
      <c r="J40" s="1" t="n">
        <f aca="false">jaguaribe_80ml!J41/50</f>
        <v>0.2</v>
      </c>
      <c r="K40" s="1" t="n">
        <f aca="false">jaguaribe_80ml!K41/50</f>
        <v>0</v>
      </c>
      <c r="L40" s="1" t="n">
        <f aca="false">jaguaribe_80ml!L41/50</f>
        <v>0</v>
      </c>
      <c r="M40" s="1" t="n">
        <f aca="false">jaguaribe_80ml!M41/50</f>
        <v>0.08</v>
      </c>
      <c r="N40" s="1" t="n">
        <f aca="false">jaguaribe_80ml!N41/50</f>
        <v>0</v>
      </c>
      <c r="O40" s="1" t="n">
        <f aca="false">jaguaribe_80ml!O41/50</f>
        <v>0.02</v>
      </c>
      <c r="P40" s="1" t="n">
        <f aca="false">jaguaribe_80ml!P41/50</f>
        <v>0</v>
      </c>
      <c r="Q40" s="1" t="n">
        <f aca="false">jaguaribe_80ml!Q41/50</f>
        <v>0</v>
      </c>
      <c r="R40" s="1" t="n">
        <f aca="false">jaguaribe_80ml!R41/50</f>
        <v>0</v>
      </c>
      <c r="S40" s="1" t="n">
        <f aca="false">jaguaribe_80ml!S41/50</f>
        <v>0</v>
      </c>
      <c r="T40" s="1" t="n">
        <f aca="false">jaguaribe_80ml!T41/50</f>
        <v>0.06</v>
      </c>
      <c r="U40" s="1" t="n">
        <f aca="false">jaguaribe_80ml!U41/50</f>
        <v>1.28</v>
      </c>
      <c r="V40" s="1" t="n">
        <f aca="false">jaguaribe_80ml!V41/50</f>
        <v>0</v>
      </c>
      <c r="W40" s="1" t="n">
        <f aca="false">jaguaribe_80ml!W41/50</f>
        <v>0</v>
      </c>
      <c r="X40" s="1" t="n">
        <f aca="false">jaguaribe_80ml!X41/50</f>
        <v>0</v>
      </c>
      <c r="Y40" s="1" t="n">
        <f aca="false">jaguaribe_80ml!Y41/50</f>
        <v>0.1</v>
      </c>
      <c r="Z40" s="1" t="n">
        <f aca="false">jaguaribe_80ml!Z41/50</f>
        <v>0.06</v>
      </c>
      <c r="AA40" s="1" t="n">
        <f aca="false">jaguaribe_80ml!AA41/50</f>
        <v>1.18</v>
      </c>
      <c r="AB40" s="1" t="n">
        <f aca="false">jaguaribe_80ml!AB41/50</f>
        <v>0</v>
      </c>
      <c r="AC40" s="1" t="n">
        <f aca="false">jaguaribe_80ml!AC41/50</f>
        <v>0</v>
      </c>
      <c r="AD40" s="1" t="n">
        <f aca="false">jaguaribe_80ml!AD41/50</f>
        <v>0.04</v>
      </c>
      <c r="AE40" s="1" t="n">
        <f aca="false">jaguaribe_80ml!AE41/50</f>
        <v>0</v>
      </c>
      <c r="AF40" s="1" t="n">
        <f aca="false">jaguaribe_80ml!AF41/50</f>
        <v>0.04</v>
      </c>
      <c r="AG40" s="1" t="n">
        <f aca="false">jaguaribe_80ml!AG41/50</f>
        <v>0</v>
      </c>
      <c r="AH40" s="1" t="n">
        <f aca="false">jaguaribe_80ml!AH41/50</f>
        <v>0.02</v>
      </c>
      <c r="AI40" s="1" t="n">
        <f aca="false">jaguaribe_80ml!AI41/50</f>
        <v>0.06</v>
      </c>
      <c r="AJ40" s="1" t="n">
        <f aca="false">jaguaribe_80ml!AJ41/50</f>
        <v>0.02</v>
      </c>
      <c r="AK40" s="1" t="n">
        <f aca="false">jaguaribe_80ml!AK41/50</f>
        <v>0</v>
      </c>
      <c r="AL40" s="1" t="n">
        <f aca="false">jaguaribe_80ml!AL41/50</f>
        <v>0</v>
      </c>
      <c r="AM40" s="1" t="n">
        <f aca="false">jaguaribe_80ml!AM41/50</f>
        <v>0</v>
      </c>
      <c r="AN40" s="1" t="n">
        <f aca="false">jaguaribe_80ml!AN41/50</f>
        <v>0</v>
      </c>
      <c r="AO40" s="1" t="n">
        <f aca="false">jaguaribe_80ml!AO41/50</f>
        <v>0</v>
      </c>
      <c r="AP40" s="1" t="n">
        <f aca="false">jaguaribe_80ml!AP41/50</f>
        <v>0</v>
      </c>
      <c r="AQ40" s="1" t="n">
        <f aca="false">jaguaribe_80ml!AQ41/50</f>
        <v>0</v>
      </c>
      <c r="AR40" s="1" t="n">
        <f aca="false">jaguaribe_80ml!AR41/50</f>
        <v>0</v>
      </c>
      <c r="AS40" s="1" t="n">
        <f aca="false">jaguaribe_80ml!AS41/50</f>
        <v>0</v>
      </c>
      <c r="AT40" s="1" t="n">
        <f aca="false">jaguaribe_80ml!AT41/50</f>
        <v>0.66</v>
      </c>
      <c r="AU40" s="1" t="n">
        <f aca="false">jaguaribe_80ml!AU41/50</f>
        <v>0</v>
      </c>
      <c r="AV40" s="1" t="n">
        <f aca="false">jaguaribe_80ml!AV41/50</f>
        <v>0</v>
      </c>
      <c r="AW40" s="1" t="n">
        <f aca="false">jaguaribe_80ml!AW41/50</f>
        <v>0</v>
      </c>
      <c r="AX40" s="1" t="n">
        <f aca="false">jaguaribe_80ml!AX41/50</f>
        <v>0.08</v>
      </c>
      <c r="AY40" s="1" t="n">
        <f aca="false">jaguaribe_80ml!AY41/50</f>
        <v>0.02</v>
      </c>
      <c r="AZ40" s="1" t="n">
        <f aca="false">jaguaribe_80ml!AZ41/50</f>
        <v>0</v>
      </c>
      <c r="BA40" s="1" t="n">
        <f aca="false">jaguaribe_80ml!BA41/50</f>
        <v>0.02</v>
      </c>
      <c r="BB40" s="1" t="n">
        <f aca="false">jaguaribe_80ml!BB41/50</f>
        <v>0.02</v>
      </c>
      <c r="BC40" s="1" t="n">
        <f aca="false">jaguaribe_80ml!BC41/50</f>
        <v>0.26</v>
      </c>
      <c r="BD40" s="1" t="n">
        <f aca="false">jaguaribe_80ml!BD41/50</f>
        <v>0</v>
      </c>
      <c r="BE40" s="1" t="n">
        <f aca="false">jaguaribe_80ml!BE41/50</f>
        <v>0</v>
      </c>
    </row>
    <row r="41" customFormat="false" ht="12.8" hidden="false" customHeight="false" outlineLevel="0" collapsed="false">
      <c r="A41" s="1" t="s">
        <v>59</v>
      </c>
      <c r="B41" s="1" t="n">
        <f aca="false">jaguaribe_80ml!B42/50</f>
        <v>0</v>
      </c>
      <c r="C41" s="1" t="n">
        <f aca="false">jaguaribe_80ml!C42/50</f>
        <v>0</v>
      </c>
      <c r="D41" s="1" t="n">
        <f aca="false">jaguaribe_80ml!D42/50</f>
        <v>0.04</v>
      </c>
      <c r="E41" s="1" t="n">
        <f aca="false">jaguaribe_80ml!E42/50</f>
        <v>0</v>
      </c>
      <c r="F41" s="1" t="n">
        <f aca="false">jaguaribe_80ml!F42/50</f>
        <v>0</v>
      </c>
      <c r="G41" s="1" t="n">
        <f aca="false">jaguaribe_80ml!G42/50</f>
        <v>0</v>
      </c>
      <c r="H41" s="1" t="n">
        <f aca="false">jaguaribe_80ml!H42/50</f>
        <v>0</v>
      </c>
      <c r="I41" s="1" t="n">
        <f aca="false">jaguaribe_80ml!I42/50</f>
        <v>0</v>
      </c>
      <c r="J41" s="1" t="n">
        <f aca="false">jaguaribe_80ml!J42/50</f>
        <v>0.04</v>
      </c>
      <c r="K41" s="1" t="n">
        <f aca="false">jaguaribe_80ml!K42/50</f>
        <v>0</v>
      </c>
      <c r="L41" s="1" t="n">
        <f aca="false">jaguaribe_80ml!L42/50</f>
        <v>0</v>
      </c>
      <c r="M41" s="1" t="n">
        <f aca="false">jaguaribe_80ml!M42/50</f>
        <v>0.02</v>
      </c>
      <c r="N41" s="1" t="n">
        <f aca="false">jaguaribe_80ml!N42/50</f>
        <v>0</v>
      </c>
      <c r="O41" s="1" t="n">
        <f aca="false">jaguaribe_80ml!O42/50</f>
        <v>0.04</v>
      </c>
      <c r="P41" s="1" t="n">
        <f aca="false">jaguaribe_80ml!P42/50</f>
        <v>0</v>
      </c>
      <c r="Q41" s="1" t="n">
        <f aca="false">jaguaribe_80ml!Q42/50</f>
        <v>0</v>
      </c>
      <c r="R41" s="1" t="n">
        <f aca="false">jaguaribe_80ml!R42/50</f>
        <v>0</v>
      </c>
      <c r="S41" s="1" t="n">
        <f aca="false">jaguaribe_80ml!S42/50</f>
        <v>0</v>
      </c>
      <c r="T41" s="1" t="n">
        <f aca="false">jaguaribe_80ml!T42/50</f>
        <v>0</v>
      </c>
      <c r="U41" s="1" t="n">
        <f aca="false">jaguaribe_80ml!U42/50</f>
        <v>0</v>
      </c>
      <c r="V41" s="1" t="n">
        <f aca="false">jaguaribe_80ml!V42/50</f>
        <v>0</v>
      </c>
      <c r="W41" s="1" t="n">
        <f aca="false">jaguaribe_80ml!W42/50</f>
        <v>0</v>
      </c>
      <c r="X41" s="1" t="n">
        <f aca="false">jaguaribe_80ml!X42/50</f>
        <v>0</v>
      </c>
      <c r="Y41" s="1" t="n">
        <f aca="false">jaguaribe_80ml!Y42/50</f>
        <v>0</v>
      </c>
      <c r="Z41" s="1" t="n">
        <f aca="false">jaguaribe_80ml!Z42/50</f>
        <v>0</v>
      </c>
      <c r="AA41" s="1" t="n">
        <f aca="false">jaguaribe_80ml!AA42/50</f>
        <v>0</v>
      </c>
      <c r="AB41" s="1" t="n">
        <f aca="false">jaguaribe_80ml!AB42/50</f>
        <v>0</v>
      </c>
      <c r="AC41" s="1" t="n">
        <f aca="false">jaguaribe_80ml!AC42/50</f>
        <v>0</v>
      </c>
      <c r="AD41" s="1" t="n">
        <f aca="false">jaguaribe_80ml!AD42/50</f>
        <v>0</v>
      </c>
      <c r="AE41" s="1" t="n">
        <f aca="false">jaguaribe_80ml!AE42/50</f>
        <v>0</v>
      </c>
      <c r="AF41" s="1" t="n">
        <f aca="false">jaguaribe_80ml!AF42/50</f>
        <v>0.1</v>
      </c>
      <c r="AG41" s="1" t="n">
        <f aca="false">jaguaribe_80ml!AG42/50</f>
        <v>0</v>
      </c>
      <c r="AH41" s="1" t="n">
        <f aca="false">jaguaribe_80ml!AH42/50</f>
        <v>0</v>
      </c>
      <c r="AI41" s="1" t="n">
        <f aca="false">jaguaribe_80ml!AI42/50</f>
        <v>0</v>
      </c>
      <c r="AJ41" s="1" t="n">
        <f aca="false">jaguaribe_80ml!AJ42/50</f>
        <v>0</v>
      </c>
      <c r="AK41" s="1" t="n">
        <f aca="false">jaguaribe_80ml!AK42/50</f>
        <v>0</v>
      </c>
      <c r="AL41" s="1" t="n">
        <f aca="false">jaguaribe_80ml!AL42/50</f>
        <v>0</v>
      </c>
      <c r="AM41" s="1" t="n">
        <f aca="false">jaguaribe_80ml!AM42/50</f>
        <v>0</v>
      </c>
      <c r="AN41" s="1" t="n">
        <f aca="false">jaguaribe_80ml!AN42/50</f>
        <v>0</v>
      </c>
      <c r="AO41" s="1" t="n">
        <f aca="false">jaguaribe_80ml!AO42/50</f>
        <v>0</v>
      </c>
      <c r="AP41" s="1" t="n">
        <f aca="false">jaguaribe_80ml!AP42/50</f>
        <v>0.08</v>
      </c>
      <c r="AQ41" s="1" t="n">
        <f aca="false">jaguaribe_80ml!AQ42/50</f>
        <v>0</v>
      </c>
      <c r="AR41" s="1" t="n">
        <f aca="false">jaguaribe_80ml!AR42/50</f>
        <v>0.02</v>
      </c>
      <c r="AS41" s="1" t="n">
        <f aca="false">jaguaribe_80ml!AS42/50</f>
        <v>0</v>
      </c>
      <c r="AT41" s="1" t="n">
        <f aca="false">jaguaribe_80ml!AT42/50</f>
        <v>0.04</v>
      </c>
      <c r="AU41" s="1" t="n">
        <f aca="false">jaguaribe_80ml!AU42/50</f>
        <v>0</v>
      </c>
      <c r="AV41" s="1" t="n">
        <f aca="false">jaguaribe_80ml!AV42/50</f>
        <v>0.02</v>
      </c>
      <c r="AW41" s="1" t="n">
        <f aca="false">jaguaribe_80ml!AW42/50</f>
        <v>0</v>
      </c>
      <c r="AX41" s="1" t="n">
        <f aca="false">jaguaribe_80ml!AX42/50</f>
        <v>0.04</v>
      </c>
      <c r="AY41" s="1" t="n">
        <f aca="false">jaguaribe_80ml!AY42/50</f>
        <v>0.02</v>
      </c>
      <c r="AZ41" s="1" t="n">
        <f aca="false">jaguaribe_80ml!AZ42/50</f>
        <v>0</v>
      </c>
      <c r="BA41" s="1" t="n">
        <f aca="false">jaguaribe_80ml!BA42/50</f>
        <v>0.08</v>
      </c>
      <c r="BB41" s="1" t="n">
        <f aca="false">jaguaribe_80ml!BB42/50</f>
        <v>0</v>
      </c>
      <c r="BC41" s="1" t="n">
        <f aca="false">jaguaribe_80ml!BC42/50</f>
        <v>0.02</v>
      </c>
      <c r="BD41" s="1" t="n">
        <f aca="false">jaguaribe_80ml!BD42/50</f>
        <v>0</v>
      </c>
      <c r="BE41" s="1" t="n">
        <f aca="false">jaguaribe_80ml!BE42/50</f>
        <v>0</v>
      </c>
    </row>
    <row r="42" customFormat="false" ht="12.8" hidden="false" customHeight="false" outlineLevel="0" collapsed="false">
      <c r="A42" s="1" t="s">
        <v>60</v>
      </c>
      <c r="B42" s="1" t="n">
        <f aca="false">jaguaribe_80ml!B43/50</f>
        <v>0</v>
      </c>
      <c r="C42" s="1" t="n">
        <f aca="false">jaguaribe_80ml!C43/50</f>
        <v>0</v>
      </c>
      <c r="D42" s="1" t="n">
        <f aca="false">jaguaribe_80ml!D43/50</f>
        <v>0.08</v>
      </c>
      <c r="E42" s="1" t="n">
        <f aca="false">jaguaribe_80ml!E43/50</f>
        <v>0.02</v>
      </c>
      <c r="F42" s="1" t="n">
        <f aca="false">jaguaribe_80ml!F43/50</f>
        <v>0.1</v>
      </c>
      <c r="G42" s="1" t="n">
        <f aca="false">jaguaribe_80ml!G43/50</f>
        <v>0</v>
      </c>
      <c r="H42" s="1" t="n">
        <f aca="false">jaguaribe_80ml!H43/50</f>
        <v>0.32</v>
      </c>
      <c r="I42" s="1" t="n">
        <f aca="false">jaguaribe_80ml!I43/50</f>
        <v>0</v>
      </c>
      <c r="J42" s="1" t="n">
        <f aca="false">jaguaribe_80ml!J43/50</f>
        <v>0.76</v>
      </c>
      <c r="K42" s="1" t="n">
        <f aca="false">jaguaribe_80ml!K43/50</f>
        <v>0.02</v>
      </c>
      <c r="L42" s="1" t="n">
        <f aca="false">jaguaribe_80ml!L43/50</f>
        <v>0</v>
      </c>
      <c r="M42" s="1" t="n">
        <f aca="false">jaguaribe_80ml!M43/50</f>
        <v>0.02</v>
      </c>
      <c r="N42" s="1" t="n">
        <f aca="false">jaguaribe_80ml!N43/50</f>
        <v>0</v>
      </c>
      <c r="O42" s="1" t="n">
        <f aca="false">jaguaribe_80ml!O43/50</f>
        <v>0.02</v>
      </c>
      <c r="P42" s="1" t="n">
        <f aca="false">jaguaribe_80ml!P43/50</f>
        <v>0</v>
      </c>
      <c r="Q42" s="1" t="n">
        <f aca="false">jaguaribe_80ml!Q43/50</f>
        <v>0</v>
      </c>
      <c r="R42" s="1" t="n">
        <f aca="false">jaguaribe_80ml!R43/50</f>
        <v>0</v>
      </c>
      <c r="S42" s="1" t="n">
        <f aca="false">jaguaribe_80ml!S43/50</f>
        <v>0</v>
      </c>
      <c r="T42" s="1" t="n">
        <f aca="false">jaguaribe_80ml!T43/50</f>
        <v>0.02</v>
      </c>
      <c r="U42" s="1" t="n">
        <f aca="false">jaguaribe_80ml!U43/50</f>
        <v>0</v>
      </c>
      <c r="V42" s="1" t="n">
        <f aca="false">jaguaribe_80ml!V43/50</f>
        <v>0</v>
      </c>
      <c r="W42" s="1" t="n">
        <f aca="false">jaguaribe_80ml!W43/50</f>
        <v>0</v>
      </c>
      <c r="X42" s="1" t="n">
        <f aca="false">jaguaribe_80ml!X43/50</f>
        <v>0</v>
      </c>
      <c r="Y42" s="1" t="n">
        <f aca="false">jaguaribe_80ml!Y43/50</f>
        <v>0</v>
      </c>
      <c r="Z42" s="1" t="n">
        <f aca="false">jaguaribe_80ml!Z43/50</f>
        <v>0</v>
      </c>
      <c r="AA42" s="1" t="n">
        <f aca="false">jaguaribe_80ml!AA43/50</f>
        <v>0.06</v>
      </c>
      <c r="AB42" s="1" t="n">
        <f aca="false">jaguaribe_80ml!AB43/50</f>
        <v>0</v>
      </c>
      <c r="AC42" s="1" t="n">
        <f aca="false">jaguaribe_80ml!AC43/50</f>
        <v>0</v>
      </c>
      <c r="AD42" s="1" t="n">
        <f aca="false">jaguaribe_80ml!AD43/50</f>
        <v>0.18</v>
      </c>
      <c r="AE42" s="1" t="n">
        <f aca="false">jaguaribe_80ml!AE43/50</f>
        <v>0</v>
      </c>
      <c r="AF42" s="1" t="n">
        <f aca="false">jaguaribe_80ml!AF43/50</f>
        <v>0.24</v>
      </c>
      <c r="AG42" s="1" t="n">
        <f aca="false">jaguaribe_80ml!AG43/50</f>
        <v>0</v>
      </c>
      <c r="AH42" s="1" t="n">
        <f aca="false">jaguaribe_80ml!AH43/50</f>
        <v>0</v>
      </c>
      <c r="AI42" s="1" t="n">
        <f aca="false">jaguaribe_80ml!AI43/50</f>
        <v>0</v>
      </c>
      <c r="AJ42" s="1" t="n">
        <f aca="false">jaguaribe_80ml!AJ43/50</f>
        <v>0</v>
      </c>
      <c r="AK42" s="1" t="n">
        <f aca="false">jaguaribe_80ml!AK43/50</f>
        <v>0</v>
      </c>
      <c r="AL42" s="1" t="n">
        <f aca="false">jaguaribe_80ml!AL43/50</f>
        <v>0</v>
      </c>
      <c r="AM42" s="1" t="n">
        <f aca="false">jaguaribe_80ml!AM43/50</f>
        <v>0.02</v>
      </c>
      <c r="AN42" s="1" t="n">
        <f aca="false">jaguaribe_80ml!AN43/50</f>
        <v>0</v>
      </c>
      <c r="AO42" s="1" t="n">
        <f aca="false">jaguaribe_80ml!AO43/50</f>
        <v>0</v>
      </c>
      <c r="AP42" s="1" t="n">
        <f aca="false">jaguaribe_80ml!AP43/50</f>
        <v>0</v>
      </c>
      <c r="AQ42" s="1" t="n">
        <f aca="false">jaguaribe_80ml!AQ43/50</f>
        <v>0</v>
      </c>
      <c r="AR42" s="1" t="n">
        <f aca="false">jaguaribe_80ml!AR43/50</f>
        <v>0</v>
      </c>
      <c r="AS42" s="1" t="n">
        <f aca="false">jaguaribe_80ml!AS43/50</f>
        <v>0</v>
      </c>
      <c r="AT42" s="1" t="n">
        <f aca="false">jaguaribe_80ml!AT43/50</f>
        <v>4.8</v>
      </c>
      <c r="AU42" s="1" t="n">
        <f aca="false">jaguaribe_80ml!AU43/50</f>
        <v>0</v>
      </c>
      <c r="AV42" s="1" t="n">
        <f aca="false">jaguaribe_80ml!AV43/50</f>
        <v>0</v>
      </c>
      <c r="AW42" s="1" t="n">
        <f aca="false">jaguaribe_80ml!AW43/50</f>
        <v>0</v>
      </c>
      <c r="AX42" s="1" t="n">
        <f aca="false">jaguaribe_80ml!AX43/50</f>
        <v>0.16</v>
      </c>
      <c r="AY42" s="1" t="n">
        <f aca="false">jaguaribe_80ml!AY43/50</f>
        <v>0.12</v>
      </c>
      <c r="AZ42" s="1" t="n">
        <f aca="false">jaguaribe_80ml!AZ43/50</f>
        <v>0</v>
      </c>
      <c r="BA42" s="1" t="n">
        <f aca="false">jaguaribe_80ml!BA43/50</f>
        <v>1.12</v>
      </c>
      <c r="BB42" s="1" t="n">
        <f aca="false">jaguaribe_80ml!BB43/50</f>
        <v>0</v>
      </c>
      <c r="BC42" s="1" t="n">
        <f aca="false">jaguaribe_80ml!BC43/50</f>
        <v>0.12</v>
      </c>
      <c r="BD42" s="1" t="n">
        <f aca="false">jaguaribe_80ml!BD43/50</f>
        <v>0</v>
      </c>
      <c r="BE42" s="1" t="n">
        <f aca="false">jaguaribe_80ml!BE43/50</f>
        <v>0</v>
      </c>
    </row>
    <row r="43" customFormat="false" ht="12.8" hidden="false" customHeight="false" outlineLevel="0" collapsed="false">
      <c r="A43" s="1" t="s">
        <v>61</v>
      </c>
      <c r="B43" s="1" t="n">
        <f aca="false">jaguaribe_80ml!B44/50</f>
        <v>0</v>
      </c>
      <c r="C43" s="1" t="n">
        <f aca="false">jaguaribe_80ml!C44/50</f>
        <v>0</v>
      </c>
      <c r="D43" s="1" t="n">
        <f aca="false">jaguaribe_80ml!D44/50</f>
        <v>0.06</v>
      </c>
      <c r="E43" s="1" t="n">
        <f aca="false">jaguaribe_80ml!E44/50</f>
        <v>0.04</v>
      </c>
      <c r="F43" s="1" t="n">
        <f aca="false">jaguaribe_80ml!F44/50</f>
        <v>0.04</v>
      </c>
      <c r="G43" s="1" t="n">
        <f aca="false">jaguaribe_80ml!G44/50</f>
        <v>0.04</v>
      </c>
      <c r="H43" s="1" t="n">
        <f aca="false">jaguaribe_80ml!H44/50</f>
        <v>0.38</v>
      </c>
      <c r="I43" s="1" t="n">
        <f aca="false">jaguaribe_80ml!I44/50</f>
        <v>0</v>
      </c>
      <c r="J43" s="1" t="n">
        <f aca="false">jaguaribe_80ml!J44/50</f>
        <v>0.28</v>
      </c>
      <c r="K43" s="1" t="n">
        <f aca="false">jaguaribe_80ml!K44/50</f>
        <v>0.02</v>
      </c>
      <c r="L43" s="1" t="n">
        <f aca="false">jaguaribe_80ml!L44/50</f>
        <v>0</v>
      </c>
      <c r="M43" s="1" t="n">
        <f aca="false">jaguaribe_80ml!M44/50</f>
        <v>0.02</v>
      </c>
      <c r="N43" s="1" t="n">
        <f aca="false">jaguaribe_80ml!N44/50</f>
        <v>0</v>
      </c>
      <c r="O43" s="1" t="n">
        <f aca="false">jaguaribe_80ml!O44/50</f>
        <v>0.02</v>
      </c>
      <c r="P43" s="1" t="n">
        <f aca="false">jaguaribe_80ml!P44/50</f>
        <v>0</v>
      </c>
      <c r="Q43" s="1" t="n">
        <f aca="false">jaguaribe_80ml!Q44/50</f>
        <v>0</v>
      </c>
      <c r="R43" s="1" t="n">
        <f aca="false">jaguaribe_80ml!R44/50</f>
        <v>0</v>
      </c>
      <c r="S43" s="1" t="n">
        <f aca="false">jaguaribe_80ml!S44/50</f>
        <v>0</v>
      </c>
      <c r="T43" s="1" t="n">
        <f aca="false">jaguaribe_80ml!T44/50</f>
        <v>0</v>
      </c>
      <c r="U43" s="1" t="n">
        <f aca="false">jaguaribe_80ml!U44/50</f>
        <v>0.02</v>
      </c>
      <c r="V43" s="1" t="n">
        <f aca="false">jaguaribe_80ml!V44/50</f>
        <v>0</v>
      </c>
      <c r="W43" s="1" t="n">
        <f aca="false">jaguaribe_80ml!W44/50</f>
        <v>0</v>
      </c>
      <c r="X43" s="1" t="n">
        <f aca="false">jaguaribe_80ml!X44/50</f>
        <v>0</v>
      </c>
      <c r="Y43" s="1" t="n">
        <f aca="false">jaguaribe_80ml!Y44/50</f>
        <v>0</v>
      </c>
      <c r="Z43" s="1" t="n">
        <f aca="false">jaguaribe_80ml!Z44/50</f>
        <v>0</v>
      </c>
      <c r="AA43" s="1" t="n">
        <f aca="false">jaguaribe_80ml!AA44/50</f>
        <v>0.06</v>
      </c>
      <c r="AB43" s="1" t="n">
        <f aca="false">jaguaribe_80ml!AB44/50</f>
        <v>0</v>
      </c>
      <c r="AC43" s="1" t="n">
        <f aca="false">jaguaribe_80ml!AC44/50</f>
        <v>0</v>
      </c>
      <c r="AD43" s="1" t="n">
        <f aca="false">jaguaribe_80ml!AD44/50</f>
        <v>0</v>
      </c>
      <c r="AE43" s="1" t="n">
        <f aca="false">jaguaribe_80ml!AE44/50</f>
        <v>0</v>
      </c>
      <c r="AF43" s="1" t="n">
        <f aca="false">jaguaribe_80ml!AF44/50</f>
        <v>0.12</v>
      </c>
      <c r="AG43" s="1" t="n">
        <f aca="false">jaguaribe_80ml!AG44/50</f>
        <v>0</v>
      </c>
      <c r="AH43" s="1" t="n">
        <f aca="false">jaguaribe_80ml!AH44/50</f>
        <v>0.12</v>
      </c>
      <c r="AI43" s="1" t="n">
        <f aca="false">jaguaribe_80ml!AI44/50</f>
        <v>0.04</v>
      </c>
      <c r="AJ43" s="1" t="n">
        <f aca="false">jaguaribe_80ml!AJ44/50</f>
        <v>0</v>
      </c>
      <c r="AK43" s="1" t="n">
        <f aca="false">jaguaribe_80ml!AK44/50</f>
        <v>0</v>
      </c>
      <c r="AL43" s="1" t="n">
        <f aca="false">jaguaribe_80ml!AL44/50</f>
        <v>0</v>
      </c>
      <c r="AM43" s="1" t="n">
        <f aca="false">jaguaribe_80ml!AM44/50</f>
        <v>0</v>
      </c>
      <c r="AN43" s="1" t="n">
        <f aca="false">jaguaribe_80ml!AN44/50</f>
        <v>0</v>
      </c>
      <c r="AO43" s="1" t="n">
        <f aca="false">jaguaribe_80ml!AO44/50</f>
        <v>0</v>
      </c>
      <c r="AP43" s="1" t="n">
        <f aca="false">jaguaribe_80ml!AP44/50</f>
        <v>0</v>
      </c>
      <c r="AQ43" s="1" t="n">
        <f aca="false">jaguaribe_80ml!AQ44/50</f>
        <v>0</v>
      </c>
      <c r="AR43" s="1" t="n">
        <f aca="false">jaguaribe_80ml!AR44/50</f>
        <v>0</v>
      </c>
      <c r="AS43" s="1" t="n">
        <f aca="false">jaguaribe_80ml!AS44/50</f>
        <v>0</v>
      </c>
      <c r="AT43" s="1" t="n">
        <f aca="false">jaguaribe_80ml!AT44/50</f>
        <v>0.54</v>
      </c>
      <c r="AU43" s="1" t="n">
        <f aca="false">jaguaribe_80ml!AU44/50</f>
        <v>0</v>
      </c>
      <c r="AV43" s="1" t="n">
        <f aca="false">jaguaribe_80ml!AV44/50</f>
        <v>0</v>
      </c>
      <c r="AW43" s="1" t="n">
        <f aca="false">jaguaribe_80ml!AW44/50</f>
        <v>0</v>
      </c>
      <c r="AX43" s="1" t="n">
        <f aca="false">jaguaribe_80ml!AX44/50</f>
        <v>0.34</v>
      </c>
      <c r="AY43" s="1" t="n">
        <f aca="false">jaguaribe_80ml!AY44/50</f>
        <v>0.2</v>
      </c>
      <c r="AZ43" s="1" t="n">
        <f aca="false">jaguaribe_80ml!AZ44/50</f>
        <v>0</v>
      </c>
      <c r="BA43" s="1" t="n">
        <f aca="false">jaguaribe_80ml!BA44/50</f>
        <v>0.24</v>
      </c>
      <c r="BB43" s="1" t="n">
        <f aca="false">jaguaribe_80ml!BB44/50</f>
        <v>0</v>
      </c>
      <c r="BC43" s="1" t="n">
        <f aca="false">jaguaribe_80ml!BC44/50</f>
        <v>0.12</v>
      </c>
      <c r="BD43" s="1" t="n">
        <f aca="false">jaguaribe_80ml!BD44/50</f>
        <v>0</v>
      </c>
      <c r="BE43" s="1" t="n">
        <f aca="false">jaguaribe_80ml!BE44/50</f>
        <v>0</v>
      </c>
    </row>
    <row r="44" customFormat="false" ht="12.8" hidden="false" customHeight="false" outlineLevel="0" collapsed="false">
      <c r="A44" s="1" t="s">
        <v>62</v>
      </c>
      <c r="B44" s="1" t="n">
        <f aca="false">jaguaribe_80ml!B45/50</f>
        <v>0</v>
      </c>
      <c r="C44" s="1" t="n">
        <f aca="false">jaguaribe_80ml!C45/50</f>
        <v>0</v>
      </c>
      <c r="D44" s="1" t="n">
        <f aca="false">jaguaribe_80ml!D45/50</f>
        <v>0.24</v>
      </c>
      <c r="E44" s="1" t="n">
        <f aca="false">jaguaribe_80ml!E45/50</f>
        <v>0</v>
      </c>
      <c r="F44" s="1" t="n">
        <f aca="false">jaguaribe_80ml!F45/50</f>
        <v>1.1</v>
      </c>
      <c r="G44" s="1" t="n">
        <f aca="false">jaguaribe_80ml!G45/50</f>
        <v>0</v>
      </c>
      <c r="H44" s="1" t="n">
        <f aca="false">jaguaribe_80ml!H45/50</f>
        <v>0</v>
      </c>
      <c r="I44" s="1" t="n">
        <f aca="false">jaguaribe_80ml!I45/50</f>
        <v>0.8</v>
      </c>
      <c r="J44" s="1" t="n">
        <f aca="false">jaguaribe_80ml!J45/50</f>
        <v>0.08</v>
      </c>
      <c r="K44" s="1" t="n">
        <f aca="false">jaguaribe_80ml!K45/50</f>
        <v>0</v>
      </c>
      <c r="L44" s="1" t="n">
        <f aca="false">jaguaribe_80ml!L45/50</f>
        <v>0</v>
      </c>
      <c r="M44" s="1" t="n">
        <f aca="false">jaguaribe_80ml!M45/50</f>
        <v>0.58</v>
      </c>
      <c r="N44" s="1" t="n">
        <f aca="false">jaguaribe_80ml!N45/50</f>
        <v>0.02</v>
      </c>
      <c r="O44" s="1" t="n">
        <f aca="false">jaguaribe_80ml!O45/50</f>
        <v>0.04</v>
      </c>
      <c r="P44" s="1" t="n">
        <f aca="false">jaguaribe_80ml!P45/50</f>
        <v>0</v>
      </c>
      <c r="Q44" s="1" t="n">
        <f aca="false">jaguaribe_80ml!Q45/50</f>
        <v>0</v>
      </c>
      <c r="R44" s="1" t="n">
        <f aca="false">jaguaribe_80ml!R45/50</f>
        <v>0</v>
      </c>
      <c r="S44" s="1" t="n">
        <f aca="false">jaguaribe_80ml!S45/50</f>
        <v>0</v>
      </c>
      <c r="T44" s="1" t="n">
        <f aca="false">jaguaribe_80ml!T45/50</f>
        <v>0.6</v>
      </c>
      <c r="U44" s="1" t="n">
        <f aca="false">jaguaribe_80ml!U45/50</f>
        <v>0.78</v>
      </c>
      <c r="V44" s="1" t="n">
        <f aca="false">jaguaribe_80ml!V45/50</f>
        <v>0</v>
      </c>
      <c r="W44" s="1" t="n">
        <f aca="false">jaguaribe_80ml!W45/50</f>
        <v>0</v>
      </c>
      <c r="X44" s="1" t="n">
        <f aca="false">jaguaribe_80ml!X45/50</f>
        <v>0</v>
      </c>
      <c r="Y44" s="1" t="n">
        <f aca="false">jaguaribe_80ml!Y45/50</f>
        <v>0</v>
      </c>
      <c r="Z44" s="1" t="n">
        <f aca="false">jaguaribe_80ml!Z45/50</f>
        <v>0</v>
      </c>
      <c r="AA44" s="1" t="n">
        <f aca="false">jaguaribe_80ml!AA45/50</f>
        <v>0.26</v>
      </c>
      <c r="AB44" s="1" t="n">
        <f aca="false">jaguaribe_80ml!AB45/50</f>
        <v>0</v>
      </c>
      <c r="AC44" s="1" t="n">
        <f aca="false">jaguaribe_80ml!AC45/50</f>
        <v>0</v>
      </c>
      <c r="AD44" s="1" t="n">
        <f aca="false">jaguaribe_80ml!AD45/50</f>
        <v>0</v>
      </c>
      <c r="AE44" s="1" t="n">
        <f aca="false">jaguaribe_80ml!AE45/50</f>
        <v>0</v>
      </c>
      <c r="AF44" s="1" t="n">
        <f aca="false">jaguaribe_80ml!AF45/50</f>
        <v>0.02</v>
      </c>
      <c r="AG44" s="1" t="n">
        <f aca="false">jaguaribe_80ml!AG45/50</f>
        <v>0</v>
      </c>
      <c r="AH44" s="1" t="n">
        <f aca="false">jaguaribe_80ml!AH45/50</f>
        <v>0.02</v>
      </c>
      <c r="AI44" s="1" t="n">
        <f aca="false">jaguaribe_80ml!AI45/50</f>
        <v>0</v>
      </c>
      <c r="AJ44" s="1" t="n">
        <f aca="false">jaguaribe_80ml!AJ45/50</f>
        <v>0</v>
      </c>
      <c r="AK44" s="1" t="n">
        <f aca="false">jaguaribe_80ml!AK45/50</f>
        <v>0</v>
      </c>
      <c r="AL44" s="1" t="n">
        <f aca="false">jaguaribe_80ml!AL45/50</f>
        <v>0</v>
      </c>
      <c r="AM44" s="1" t="n">
        <f aca="false">jaguaribe_80ml!AM45/50</f>
        <v>0</v>
      </c>
      <c r="AN44" s="1" t="n">
        <f aca="false">jaguaribe_80ml!AN45/50</f>
        <v>0</v>
      </c>
      <c r="AO44" s="1" t="n">
        <f aca="false">jaguaribe_80ml!AO45/50</f>
        <v>0</v>
      </c>
      <c r="AP44" s="1" t="n">
        <f aca="false">jaguaribe_80ml!AP45/50</f>
        <v>0</v>
      </c>
      <c r="AQ44" s="1" t="n">
        <f aca="false">jaguaribe_80ml!AQ45/50</f>
        <v>0</v>
      </c>
      <c r="AR44" s="1" t="n">
        <f aca="false">jaguaribe_80ml!AR45/50</f>
        <v>0.08</v>
      </c>
      <c r="AS44" s="1" t="n">
        <f aca="false">jaguaribe_80ml!AS45/50</f>
        <v>0</v>
      </c>
      <c r="AT44" s="1" t="n">
        <f aca="false">jaguaribe_80ml!AT45/50</f>
        <v>3</v>
      </c>
      <c r="AU44" s="1" t="n">
        <f aca="false">jaguaribe_80ml!AU45/50</f>
        <v>0</v>
      </c>
      <c r="AV44" s="1" t="n">
        <f aca="false">jaguaribe_80ml!AV45/50</f>
        <v>0</v>
      </c>
      <c r="AW44" s="1" t="n">
        <f aca="false">jaguaribe_80ml!AW45/50</f>
        <v>0</v>
      </c>
      <c r="AX44" s="1" t="n">
        <f aca="false">jaguaribe_80ml!AX45/50</f>
        <v>0.12</v>
      </c>
      <c r="AY44" s="1" t="n">
        <f aca="false">jaguaribe_80ml!AY45/50</f>
        <v>0.02</v>
      </c>
      <c r="AZ44" s="1" t="n">
        <f aca="false">jaguaribe_80ml!AZ45/50</f>
        <v>0</v>
      </c>
      <c r="BA44" s="1" t="n">
        <f aca="false">jaguaribe_80ml!BA45/50</f>
        <v>0</v>
      </c>
      <c r="BB44" s="1" t="n">
        <f aca="false">jaguaribe_80ml!BB45/50</f>
        <v>0</v>
      </c>
      <c r="BC44" s="1" t="n">
        <f aca="false">jaguaribe_80ml!BC45/50</f>
        <v>0.2</v>
      </c>
      <c r="BD44" s="1" t="n">
        <f aca="false">jaguaribe_80ml!BD45/50</f>
        <v>0</v>
      </c>
      <c r="BE44" s="1" t="n">
        <f aca="false">jaguaribe_80ml!BE45/50</f>
        <v>0</v>
      </c>
    </row>
    <row r="45" customFormat="false" ht="12.8" hidden="false" customHeight="false" outlineLevel="0" collapsed="false">
      <c r="A45" s="1" t="s">
        <v>63</v>
      </c>
      <c r="B45" s="1" t="n">
        <f aca="false">jaguaribe_80ml!B46/50</f>
        <v>0</v>
      </c>
      <c r="C45" s="1" t="n">
        <f aca="false">jaguaribe_80ml!C46/50</f>
        <v>0</v>
      </c>
      <c r="D45" s="1" t="n">
        <f aca="false">jaguaribe_80ml!D46/50</f>
        <v>0.02</v>
      </c>
      <c r="E45" s="1" t="n">
        <f aca="false">jaguaribe_80ml!E46/50</f>
        <v>0</v>
      </c>
      <c r="F45" s="1" t="n">
        <f aca="false">jaguaribe_80ml!F46/50</f>
        <v>0.64</v>
      </c>
      <c r="G45" s="1" t="n">
        <f aca="false">jaguaribe_80ml!G46/50</f>
        <v>0</v>
      </c>
      <c r="H45" s="1" t="n">
        <f aca="false">jaguaribe_80ml!H46/50</f>
        <v>0.02</v>
      </c>
      <c r="I45" s="1" t="n">
        <f aca="false">jaguaribe_80ml!I46/50</f>
        <v>0.38</v>
      </c>
      <c r="J45" s="1" t="n">
        <f aca="false">jaguaribe_80ml!J46/50</f>
        <v>0.02</v>
      </c>
      <c r="K45" s="1" t="n">
        <f aca="false">jaguaribe_80ml!K46/50</f>
        <v>0</v>
      </c>
      <c r="L45" s="1" t="n">
        <f aca="false">jaguaribe_80ml!L46/50</f>
        <v>0</v>
      </c>
      <c r="M45" s="1" t="n">
        <f aca="false">jaguaribe_80ml!M46/50</f>
        <v>0.12</v>
      </c>
      <c r="N45" s="1" t="n">
        <f aca="false">jaguaribe_80ml!N46/50</f>
        <v>0</v>
      </c>
      <c r="O45" s="1" t="n">
        <f aca="false">jaguaribe_80ml!O46/50</f>
        <v>0.02</v>
      </c>
      <c r="P45" s="1" t="n">
        <f aca="false">jaguaribe_80ml!P46/50</f>
        <v>0</v>
      </c>
      <c r="Q45" s="1" t="n">
        <f aca="false">jaguaribe_80ml!Q46/50</f>
        <v>0</v>
      </c>
      <c r="R45" s="1" t="n">
        <f aca="false">jaguaribe_80ml!R46/50</f>
        <v>0.06</v>
      </c>
      <c r="S45" s="1" t="n">
        <f aca="false">jaguaribe_80ml!S46/50</f>
        <v>0</v>
      </c>
      <c r="T45" s="1" t="n">
        <f aca="false">jaguaribe_80ml!T46/50</f>
        <v>0.36</v>
      </c>
      <c r="U45" s="1" t="n">
        <f aca="false">jaguaribe_80ml!U46/50</f>
        <v>0.28</v>
      </c>
      <c r="V45" s="1" t="n">
        <f aca="false">jaguaribe_80ml!V46/50</f>
        <v>0</v>
      </c>
      <c r="W45" s="1" t="n">
        <f aca="false">jaguaribe_80ml!W46/50</f>
        <v>0</v>
      </c>
      <c r="X45" s="1" t="n">
        <f aca="false">jaguaribe_80ml!X46/50</f>
        <v>0</v>
      </c>
      <c r="Y45" s="1" t="n">
        <f aca="false">jaguaribe_80ml!Y46/50</f>
        <v>0</v>
      </c>
      <c r="Z45" s="1" t="n">
        <f aca="false">jaguaribe_80ml!Z46/50</f>
        <v>0</v>
      </c>
      <c r="AA45" s="1" t="n">
        <f aca="false">jaguaribe_80ml!AA46/50</f>
        <v>0.04</v>
      </c>
      <c r="AB45" s="1" t="n">
        <f aca="false">jaguaribe_80ml!AB46/50</f>
        <v>0</v>
      </c>
      <c r="AC45" s="1" t="n">
        <f aca="false">jaguaribe_80ml!AC46/50</f>
        <v>0</v>
      </c>
      <c r="AD45" s="1" t="n">
        <f aca="false">jaguaribe_80ml!AD46/50</f>
        <v>0</v>
      </c>
      <c r="AE45" s="1" t="n">
        <f aca="false">jaguaribe_80ml!AE46/50</f>
        <v>0</v>
      </c>
      <c r="AF45" s="1" t="n">
        <f aca="false">jaguaribe_80ml!AF46/50</f>
        <v>0</v>
      </c>
      <c r="AG45" s="1" t="n">
        <f aca="false">jaguaribe_80ml!AG46/50</f>
        <v>0</v>
      </c>
      <c r="AH45" s="1" t="n">
        <f aca="false">jaguaribe_80ml!AH46/50</f>
        <v>0</v>
      </c>
      <c r="AI45" s="1" t="n">
        <f aca="false">jaguaribe_80ml!AI46/50</f>
        <v>0</v>
      </c>
      <c r="AJ45" s="1" t="n">
        <f aca="false">jaguaribe_80ml!AJ46/50</f>
        <v>0</v>
      </c>
      <c r="AK45" s="1" t="n">
        <f aca="false">jaguaribe_80ml!AK46/50</f>
        <v>0</v>
      </c>
      <c r="AL45" s="1" t="n">
        <f aca="false">jaguaribe_80ml!AL46/50</f>
        <v>0</v>
      </c>
      <c r="AM45" s="1" t="n">
        <f aca="false">jaguaribe_80ml!AM46/50</f>
        <v>0</v>
      </c>
      <c r="AN45" s="1" t="n">
        <f aca="false">jaguaribe_80ml!AN46/50</f>
        <v>0</v>
      </c>
      <c r="AO45" s="1" t="n">
        <f aca="false">jaguaribe_80ml!AO46/50</f>
        <v>0</v>
      </c>
      <c r="AP45" s="1" t="n">
        <f aca="false">jaguaribe_80ml!AP46/50</f>
        <v>0</v>
      </c>
      <c r="AQ45" s="1" t="n">
        <f aca="false">jaguaribe_80ml!AQ46/50</f>
        <v>0</v>
      </c>
      <c r="AR45" s="1" t="n">
        <f aca="false">jaguaribe_80ml!AR46/50</f>
        <v>0.02</v>
      </c>
      <c r="AS45" s="1" t="n">
        <f aca="false">jaguaribe_80ml!AS46/50</f>
        <v>0.02</v>
      </c>
      <c r="AT45" s="1" t="n">
        <f aca="false">jaguaribe_80ml!AT46/50</f>
        <v>1.92</v>
      </c>
      <c r="AU45" s="1" t="n">
        <f aca="false">jaguaribe_80ml!AU46/50</f>
        <v>0</v>
      </c>
      <c r="AV45" s="1" t="n">
        <f aca="false">jaguaribe_80ml!AV46/50</f>
        <v>0</v>
      </c>
      <c r="AW45" s="1" t="n">
        <f aca="false">jaguaribe_80ml!AW46/50</f>
        <v>0</v>
      </c>
      <c r="AX45" s="1" t="n">
        <f aca="false">jaguaribe_80ml!AX46/50</f>
        <v>0.08</v>
      </c>
      <c r="AY45" s="1" t="n">
        <f aca="false">jaguaribe_80ml!AY46/50</f>
        <v>0</v>
      </c>
      <c r="AZ45" s="1" t="n">
        <f aca="false">jaguaribe_80ml!AZ46/50</f>
        <v>0</v>
      </c>
      <c r="BA45" s="1" t="n">
        <f aca="false">jaguaribe_80ml!BA46/50</f>
        <v>0</v>
      </c>
      <c r="BB45" s="1" t="n">
        <f aca="false">jaguaribe_80ml!BB46/50</f>
        <v>0</v>
      </c>
      <c r="BC45" s="1" t="n">
        <f aca="false">jaguaribe_80ml!BC46/50</f>
        <v>0.04</v>
      </c>
      <c r="BD45" s="1" t="n">
        <f aca="false">jaguaribe_80ml!BD46/50</f>
        <v>0</v>
      </c>
      <c r="BE45" s="1" t="n">
        <f aca="false">jaguaribe_80ml!BE46/50</f>
        <v>0</v>
      </c>
    </row>
    <row r="46" customFormat="false" ht="12.8" hidden="false" customHeight="false" outlineLevel="0" collapsed="false">
      <c r="A46" s="1" t="s">
        <v>64</v>
      </c>
      <c r="B46" s="1" t="n">
        <f aca="false">jaguaribe_80ml!B47/50</f>
        <v>0</v>
      </c>
      <c r="C46" s="1" t="n">
        <f aca="false">jaguaribe_80ml!C47/50</f>
        <v>0</v>
      </c>
      <c r="D46" s="1" t="n">
        <f aca="false">jaguaribe_80ml!D47/50</f>
        <v>0.02</v>
      </c>
      <c r="E46" s="1" t="n">
        <f aca="false">jaguaribe_80ml!E47/50</f>
        <v>0</v>
      </c>
      <c r="F46" s="1" t="n">
        <f aca="false">jaguaribe_80ml!F47/50</f>
        <v>0.92</v>
      </c>
      <c r="G46" s="1" t="n">
        <f aca="false">jaguaribe_80ml!G47/50</f>
        <v>0</v>
      </c>
      <c r="H46" s="1" t="n">
        <f aca="false">jaguaribe_80ml!H47/50</f>
        <v>0</v>
      </c>
      <c r="I46" s="1" t="n">
        <f aca="false">jaguaribe_80ml!I47/50</f>
        <v>0.88</v>
      </c>
      <c r="J46" s="1" t="n">
        <f aca="false">jaguaribe_80ml!J47/50</f>
        <v>0.02</v>
      </c>
      <c r="K46" s="1" t="n">
        <f aca="false">jaguaribe_80ml!K47/50</f>
        <v>0</v>
      </c>
      <c r="L46" s="1" t="n">
        <f aca="false">jaguaribe_80ml!L47/50</f>
        <v>0</v>
      </c>
      <c r="M46" s="1" t="n">
        <f aca="false">jaguaribe_80ml!M47/50</f>
        <v>0.54</v>
      </c>
      <c r="N46" s="1" t="n">
        <f aca="false">jaguaribe_80ml!N47/50</f>
        <v>0</v>
      </c>
      <c r="O46" s="1" t="n">
        <f aca="false">jaguaribe_80ml!O47/50</f>
        <v>0.12</v>
      </c>
      <c r="P46" s="1" t="n">
        <f aca="false">jaguaribe_80ml!P47/50</f>
        <v>0</v>
      </c>
      <c r="Q46" s="1" t="n">
        <f aca="false">jaguaribe_80ml!Q47/50</f>
        <v>0</v>
      </c>
      <c r="R46" s="1" t="n">
        <f aca="false">jaguaribe_80ml!R47/50</f>
        <v>0.02</v>
      </c>
      <c r="S46" s="1" t="n">
        <f aca="false">jaguaribe_80ml!S47/50</f>
        <v>0</v>
      </c>
      <c r="T46" s="1" t="n">
        <f aca="false">jaguaribe_80ml!T47/50</f>
        <v>0.82</v>
      </c>
      <c r="U46" s="1" t="n">
        <f aca="false">jaguaribe_80ml!U47/50</f>
        <v>0.72</v>
      </c>
      <c r="V46" s="1" t="n">
        <f aca="false">jaguaribe_80ml!V47/50</f>
        <v>0</v>
      </c>
      <c r="W46" s="1" t="n">
        <f aca="false">jaguaribe_80ml!W47/50</f>
        <v>0</v>
      </c>
      <c r="X46" s="1" t="n">
        <f aca="false">jaguaribe_80ml!X47/50</f>
        <v>0</v>
      </c>
      <c r="Y46" s="1" t="n">
        <f aca="false">jaguaribe_80ml!Y47/50</f>
        <v>0</v>
      </c>
      <c r="Z46" s="1" t="n">
        <f aca="false">jaguaribe_80ml!Z47/50</f>
        <v>0</v>
      </c>
      <c r="AA46" s="1" t="n">
        <f aca="false">jaguaribe_80ml!AA47/50</f>
        <v>0.34</v>
      </c>
      <c r="AB46" s="1" t="n">
        <f aca="false">jaguaribe_80ml!AB47/50</f>
        <v>0</v>
      </c>
      <c r="AC46" s="1" t="n">
        <f aca="false">jaguaribe_80ml!AC47/50</f>
        <v>0</v>
      </c>
      <c r="AD46" s="1" t="n">
        <f aca="false">jaguaribe_80ml!AD47/50</f>
        <v>0</v>
      </c>
      <c r="AE46" s="1" t="n">
        <f aca="false">jaguaribe_80ml!AE47/50</f>
        <v>0</v>
      </c>
      <c r="AF46" s="1" t="n">
        <f aca="false">jaguaribe_80ml!AF47/50</f>
        <v>0.02</v>
      </c>
      <c r="AG46" s="1" t="n">
        <f aca="false">jaguaribe_80ml!AG47/50</f>
        <v>0</v>
      </c>
      <c r="AH46" s="1" t="n">
        <f aca="false">jaguaribe_80ml!AH47/50</f>
        <v>0</v>
      </c>
      <c r="AI46" s="1" t="n">
        <f aca="false">jaguaribe_80ml!AI47/50</f>
        <v>0</v>
      </c>
      <c r="AJ46" s="1" t="n">
        <f aca="false">jaguaribe_80ml!AJ47/50</f>
        <v>0</v>
      </c>
      <c r="AK46" s="1" t="n">
        <f aca="false">jaguaribe_80ml!AK47/50</f>
        <v>0</v>
      </c>
      <c r="AL46" s="1" t="n">
        <f aca="false">jaguaribe_80ml!AL47/50</f>
        <v>0</v>
      </c>
      <c r="AM46" s="1" t="n">
        <f aca="false">jaguaribe_80ml!AM47/50</f>
        <v>0</v>
      </c>
      <c r="AN46" s="1" t="n">
        <f aca="false">jaguaribe_80ml!AN47/50</f>
        <v>0</v>
      </c>
      <c r="AO46" s="1" t="n">
        <f aca="false">jaguaribe_80ml!AO47/50</f>
        <v>0</v>
      </c>
      <c r="AP46" s="1" t="n">
        <f aca="false">jaguaribe_80ml!AP47/50</f>
        <v>0</v>
      </c>
      <c r="AQ46" s="1" t="n">
        <f aca="false">jaguaribe_80ml!AQ47/50</f>
        <v>0</v>
      </c>
      <c r="AR46" s="1" t="n">
        <f aca="false">jaguaribe_80ml!AR47/50</f>
        <v>0</v>
      </c>
      <c r="AS46" s="1" t="n">
        <f aca="false">jaguaribe_80ml!AS47/50</f>
        <v>0</v>
      </c>
      <c r="AT46" s="1" t="n">
        <f aca="false">jaguaribe_80ml!AT47/50</f>
        <v>6.86</v>
      </c>
      <c r="AU46" s="1" t="n">
        <f aca="false">jaguaribe_80ml!AU47/50</f>
        <v>0</v>
      </c>
      <c r="AV46" s="1" t="n">
        <f aca="false">jaguaribe_80ml!AV47/50</f>
        <v>0</v>
      </c>
      <c r="AW46" s="1" t="n">
        <f aca="false">jaguaribe_80ml!AW47/50</f>
        <v>0</v>
      </c>
      <c r="AX46" s="1" t="n">
        <f aca="false">jaguaribe_80ml!AX47/50</f>
        <v>0.14</v>
      </c>
      <c r="AY46" s="1" t="n">
        <f aca="false">jaguaribe_80ml!AY47/50</f>
        <v>0</v>
      </c>
      <c r="AZ46" s="1" t="n">
        <f aca="false">jaguaribe_80ml!AZ47/50</f>
        <v>0</v>
      </c>
      <c r="BA46" s="1" t="n">
        <f aca="false">jaguaribe_80ml!BA47/50</f>
        <v>0.02</v>
      </c>
      <c r="BB46" s="1" t="n">
        <f aca="false">jaguaribe_80ml!BB47/50</f>
        <v>0</v>
      </c>
      <c r="BC46" s="1" t="n">
        <f aca="false">jaguaribe_80ml!BC47/50</f>
        <v>0.12</v>
      </c>
      <c r="BD46" s="1" t="n">
        <f aca="false">jaguaribe_80ml!BD47/50</f>
        <v>0</v>
      </c>
      <c r="BE46" s="1" t="n">
        <f aca="false">jaguaribe_80ml!BE47/50</f>
        <v>0</v>
      </c>
    </row>
    <row r="47" customFormat="false" ht="12.8" hidden="false" customHeight="false" outlineLevel="0" collapsed="false">
      <c r="A47" s="1" t="s">
        <v>65</v>
      </c>
      <c r="B47" s="1" t="n">
        <f aca="false">jaguaribe_80ml!B48/50</f>
        <v>0</v>
      </c>
      <c r="C47" s="1" t="n">
        <f aca="false">jaguaribe_80ml!C48/50</f>
        <v>0.02</v>
      </c>
      <c r="D47" s="1" t="n">
        <f aca="false">jaguaribe_80ml!D48/50</f>
        <v>0.12</v>
      </c>
      <c r="E47" s="1" t="n">
        <f aca="false">jaguaribe_80ml!E48/50</f>
        <v>0</v>
      </c>
      <c r="F47" s="1" t="n">
        <f aca="false">jaguaribe_80ml!F48/50</f>
        <v>0.12</v>
      </c>
      <c r="G47" s="1" t="n">
        <f aca="false">jaguaribe_80ml!G48/50</f>
        <v>0</v>
      </c>
      <c r="H47" s="1" t="n">
        <f aca="false">jaguaribe_80ml!H48/50</f>
        <v>0</v>
      </c>
      <c r="I47" s="1" t="n">
        <f aca="false">jaguaribe_80ml!I48/50</f>
        <v>0.12</v>
      </c>
      <c r="J47" s="1" t="n">
        <f aca="false">jaguaribe_80ml!J48/50</f>
        <v>0.02</v>
      </c>
      <c r="K47" s="1" t="n">
        <f aca="false">jaguaribe_80ml!K48/50</f>
        <v>0</v>
      </c>
      <c r="L47" s="1" t="n">
        <f aca="false">jaguaribe_80ml!L48/50</f>
        <v>0</v>
      </c>
      <c r="M47" s="1" t="n">
        <f aca="false">jaguaribe_80ml!M48/50</f>
        <v>0.16</v>
      </c>
      <c r="N47" s="1" t="n">
        <f aca="false">jaguaribe_80ml!N48/50</f>
        <v>0</v>
      </c>
      <c r="O47" s="1" t="n">
        <f aca="false">jaguaribe_80ml!O48/50</f>
        <v>0</v>
      </c>
      <c r="P47" s="1" t="n">
        <f aca="false">jaguaribe_80ml!P48/50</f>
        <v>0</v>
      </c>
      <c r="Q47" s="1" t="n">
        <f aca="false">jaguaribe_80ml!Q48/50</f>
        <v>0</v>
      </c>
      <c r="R47" s="1" t="n">
        <f aca="false">jaguaribe_80ml!R48/50</f>
        <v>0</v>
      </c>
      <c r="S47" s="1" t="n">
        <f aca="false">jaguaribe_80ml!S48/50</f>
        <v>0</v>
      </c>
      <c r="T47" s="1" t="n">
        <f aca="false">jaguaribe_80ml!T48/50</f>
        <v>0.12</v>
      </c>
      <c r="U47" s="1" t="n">
        <f aca="false">jaguaribe_80ml!U48/50</f>
        <v>0.02</v>
      </c>
      <c r="V47" s="1" t="n">
        <f aca="false">jaguaribe_80ml!V48/50</f>
        <v>0</v>
      </c>
      <c r="W47" s="1" t="n">
        <f aca="false">jaguaribe_80ml!W48/50</f>
        <v>0</v>
      </c>
      <c r="X47" s="1" t="n">
        <f aca="false">jaguaribe_80ml!X48/50</f>
        <v>0</v>
      </c>
      <c r="Y47" s="1" t="n">
        <f aca="false">jaguaribe_80ml!Y48/50</f>
        <v>0</v>
      </c>
      <c r="Z47" s="1" t="n">
        <f aca="false">jaguaribe_80ml!Z48/50</f>
        <v>0</v>
      </c>
      <c r="AA47" s="1" t="n">
        <f aca="false">jaguaribe_80ml!AA48/50</f>
        <v>0.1</v>
      </c>
      <c r="AB47" s="1" t="n">
        <f aca="false">jaguaribe_80ml!AB48/50</f>
        <v>0</v>
      </c>
      <c r="AC47" s="1" t="n">
        <f aca="false">jaguaribe_80ml!AC48/50</f>
        <v>0</v>
      </c>
      <c r="AD47" s="1" t="n">
        <f aca="false">jaguaribe_80ml!AD48/50</f>
        <v>0</v>
      </c>
      <c r="AE47" s="1" t="n">
        <f aca="false">jaguaribe_80ml!AE48/50</f>
        <v>0</v>
      </c>
      <c r="AF47" s="1" t="n">
        <f aca="false">jaguaribe_80ml!AF48/50</f>
        <v>0.04</v>
      </c>
      <c r="AG47" s="1" t="n">
        <f aca="false">jaguaribe_80ml!AG48/50</f>
        <v>0</v>
      </c>
      <c r="AH47" s="1" t="n">
        <f aca="false">jaguaribe_80ml!AH48/50</f>
        <v>0</v>
      </c>
      <c r="AI47" s="1" t="n">
        <f aca="false">jaguaribe_80ml!AI48/50</f>
        <v>0.02</v>
      </c>
      <c r="AJ47" s="1" t="n">
        <f aca="false">jaguaribe_80ml!AJ48/50</f>
        <v>0</v>
      </c>
      <c r="AK47" s="1" t="n">
        <f aca="false">jaguaribe_80ml!AK48/50</f>
        <v>0</v>
      </c>
      <c r="AL47" s="1" t="n">
        <f aca="false">jaguaribe_80ml!AL48/50</f>
        <v>0</v>
      </c>
      <c r="AM47" s="1" t="n">
        <f aca="false">jaguaribe_80ml!AM48/50</f>
        <v>0</v>
      </c>
      <c r="AN47" s="1" t="n">
        <f aca="false">jaguaribe_80ml!AN48/50</f>
        <v>0</v>
      </c>
      <c r="AO47" s="1" t="n">
        <f aca="false">jaguaribe_80ml!AO48/50</f>
        <v>0</v>
      </c>
      <c r="AP47" s="1" t="n">
        <f aca="false">jaguaribe_80ml!AP48/50</f>
        <v>0</v>
      </c>
      <c r="AQ47" s="1" t="n">
        <f aca="false">jaguaribe_80ml!AQ48/50</f>
        <v>0</v>
      </c>
      <c r="AR47" s="1" t="n">
        <f aca="false">jaguaribe_80ml!AR48/50</f>
        <v>0</v>
      </c>
      <c r="AS47" s="1" t="n">
        <f aca="false">jaguaribe_80ml!AS48/50</f>
        <v>0.02</v>
      </c>
      <c r="AT47" s="1" t="n">
        <f aca="false">jaguaribe_80ml!AT48/50</f>
        <v>5.68</v>
      </c>
      <c r="AU47" s="1" t="n">
        <f aca="false">jaguaribe_80ml!AU48/50</f>
        <v>0</v>
      </c>
      <c r="AV47" s="1" t="n">
        <f aca="false">jaguaribe_80ml!AV48/50</f>
        <v>0</v>
      </c>
      <c r="AW47" s="1" t="n">
        <f aca="false">jaguaribe_80ml!AW48/50</f>
        <v>0</v>
      </c>
      <c r="AX47" s="1" t="n">
        <f aca="false">jaguaribe_80ml!AX48/50</f>
        <v>0</v>
      </c>
      <c r="AY47" s="1" t="n">
        <f aca="false">jaguaribe_80ml!AY48/50</f>
        <v>0.04</v>
      </c>
      <c r="AZ47" s="1" t="n">
        <f aca="false">jaguaribe_80ml!AZ48/50</f>
        <v>0</v>
      </c>
      <c r="BA47" s="1" t="n">
        <f aca="false">jaguaribe_80ml!BA48/50</f>
        <v>0</v>
      </c>
      <c r="BB47" s="1" t="n">
        <f aca="false">jaguaribe_80ml!BB48/50</f>
        <v>0</v>
      </c>
      <c r="BC47" s="1" t="n">
        <f aca="false">jaguaribe_80ml!BC48/50</f>
        <v>0.08</v>
      </c>
      <c r="BD47" s="1" t="n">
        <f aca="false">jaguaribe_80ml!BD48/50</f>
        <v>0</v>
      </c>
      <c r="BE47" s="1" t="n">
        <f aca="false">jaguaribe_80ml!BE48/50</f>
        <v>0</v>
      </c>
    </row>
    <row r="48" customFormat="false" ht="12.8" hidden="false" customHeight="false" outlineLevel="0" collapsed="false">
      <c r="A48" s="1" t="s">
        <v>66</v>
      </c>
      <c r="B48" s="1" t="n">
        <f aca="false">jaguaribe_80ml!B49/50</f>
        <v>0</v>
      </c>
      <c r="C48" s="1" t="n">
        <f aca="false">jaguaribe_80ml!C49/50</f>
        <v>0</v>
      </c>
      <c r="D48" s="1" t="n">
        <f aca="false">jaguaribe_80ml!D49/50</f>
        <v>0.08</v>
      </c>
      <c r="E48" s="1" t="n">
        <f aca="false">jaguaribe_80ml!E49/50</f>
        <v>0</v>
      </c>
      <c r="F48" s="1" t="n">
        <f aca="false">jaguaribe_80ml!F49/50</f>
        <v>0</v>
      </c>
      <c r="G48" s="1" t="n">
        <f aca="false">jaguaribe_80ml!G49/50</f>
        <v>0</v>
      </c>
      <c r="H48" s="1" t="n">
        <f aca="false">jaguaribe_80ml!H49/50</f>
        <v>0</v>
      </c>
      <c r="I48" s="1" t="n">
        <f aca="false">jaguaribe_80ml!I49/50</f>
        <v>0.02</v>
      </c>
      <c r="J48" s="1" t="n">
        <f aca="false">jaguaribe_80ml!J49/50</f>
        <v>0</v>
      </c>
      <c r="K48" s="1" t="n">
        <f aca="false">jaguaribe_80ml!K49/50</f>
        <v>0</v>
      </c>
      <c r="L48" s="1" t="n">
        <f aca="false">jaguaribe_80ml!L49/50</f>
        <v>0</v>
      </c>
      <c r="M48" s="1" t="n">
        <f aca="false">jaguaribe_80ml!M49/50</f>
        <v>0.3</v>
      </c>
      <c r="N48" s="1" t="n">
        <f aca="false">jaguaribe_80ml!N49/50</f>
        <v>0</v>
      </c>
      <c r="O48" s="1" t="n">
        <f aca="false">jaguaribe_80ml!O49/50</f>
        <v>0.08</v>
      </c>
      <c r="P48" s="1" t="n">
        <f aca="false">jaguaribe_80ml!P49/50</f>
        <v>0</v>
      </c>
      <c r="Q48" s="1" t="n">
        <f aca="false">jaguaribe_80ml!Q49/50</f>
        <v>0</v>
      </c>
      <c r="R48" s="1" t="n">
        <f aca="false">jaguaribe_80ml!R49/50</f>
        <v>0</v>
      </c>
      <c r="S48" s="1" t="n">
        <f aca="false">jaguaribe_80ml!S49/50</f>
        <v>0</v>
      </c>
      <c r="T48" s="1" t="n">
        <f aca="false">jaguaribe_80ml!T49/50</f>
        <v>0</v>
      </c>
      <c r="U48" s="1" t="n">
        <f aca="false">jaguaribe_80ml!U49/50</f>
        <v>0.04</v>
      </c>
      <c r="V48" s="1" t="n">
        <f aca="false">jaguaribe_80ml!V49/50</f>
        <v>0</v>
      </c>
      <c r="W48" s="1" t="n">
        <f aca="false">jaguaribe_80ml!W49/50</f>
        <v>0</v>
      </c>
      <c r="X48" s="1" t="n">
        <f aca="false">jaguaribe_80ml!X49/50</f>
        <v>0</v>
      </c>
      <c r="Y48" s="1" t="n">
        <f aca="false">jaguaribe_80ml!Y49/50</f>
        <v>0</v>
      </c>
      <c r="Z48" s="1" t="n">
        <f aca="false">jaguaribe_80ml!Z49/50</f>
        <v>0</v>
      </c>
      <c r="AA48" s="1" t="n">
        <f aca="false">jaguaribe_80ml!AA49/50</f>
        <v>0</v>
      </c>
      <c r="AB48" s="1" t="n">
        <f aca="false">jaguaribe_80ml!AB49/50</f>
        <v>0</v>
      </c>
      <c r="AC48" s="1" t="n">
        <f aca="false">jaguaribe_80ml!AC49/50</f>
        <v>0</v>
      </c>
      <c r="AD48" s="1" t="n">
        <f aca="false">jaguaribe_80ml!AD49/50</f>
        <v>0.06</v>
      </c>
      <c r="AE48" s="1" t="n">
        <f aca="false">jaguaribe_80ml!AE49/50</f>
        <v>0</v>
      </c>
      <c r="AF48" s="1" t="n">
        <f aca="false">jaguaribe_80ml!AF49/50</f>
        <v>0.14</v>
      </c>
      <c r="AG48" s="1" t="n">
        <f aca="false">jaguaribe_80ml!AG49/50</f>
        <v>0</v>
      </c>
      <c r="AH48" s="1" t="n">
        <f aca="false">jaguaribe_80ml!AH49/50</f>
        <v>0</v>
      </c>
      <c r="AI48" s="1" t="n">
        <f aca="false">jaguaribe_80ml!AI49/50</f>
        <v>0.12</v>
      </c>
      <c r="AJ48" s="1" t="n">
        <f aca="false">jaguaribe_80ml!AJ49/50</f>
        <v>0.12</v>
      </c>
      <c r="AK48" s="1" t="n">
        <f aca="false">jaguaribe_80ml!AK49/50</f>
        <v>0</v>
      </c>
      <c r="AL48" s="1" t="n">
        <f aca="false">jaguaribe_80ml!AL49/50</f>
        <v>0</v>
      </c>
      <c r="AM48" s="1" t="n">
        <f aca="false">jaguaribe_80ml!AM49/50</f>
        <v>0</v>
      </c>
      <c r="AN48" s="1" t="n">
        <f aca="false">jaguaribe_80ml!AN49/50</f>
        <v>0</v>
      </c>
      <c r="AO48" s="1" t="n">
        <f aca="false">jaguaribe_80ml!AO49/50</f>
        <v>0</v>
      </c>
      <c r="AP48" s="1" t="n">
        <f aca="false">jaguaribe_80ml!AP49/50</f>
        <v>0</v>
      </c>
      <c r="AQ48" s="1" t="n">
        <f aca="false">jaguaribe_80ml!AQ49/50</f>
        <v>0</v>
      </c>
      <c r="AR48" s="1" t="n">
        <f aca="false">jaguaribe_80ml!AR49/50</f>
        <v>0.12</v>
      </c>
      <c r="AS48" s="1" t="n">
        <f aca="false">jaguaribe_80ml!AS49/50</f>
        <v>0.1</v>
      </c>
      <c r="AT48" s="1" t="n">
        <f aca="false">jaguaribe_80ml!AT49/50</f>
        <v>7.44</v>
      </c>
      <c r="AU48" s="1" t="n">
        <f aca="false">jaguaribe_80ml!AU49/50</f>
        <v>0</v>
      </c>
      <c r="AV48" s="1" t="n">
        <f aca="false">jaguaribe_80ml!AV49/50</f>
        <v>0</v>
      </c>
      <c r="AW48" s="1" t="n">
        <f aca="false">jaguaribe_80ml!AW49/50</f>
        <v>0</v>
      </c>
      <c r="AX48" s="1" t="n">
        <f aca="false">jaguaribe_80ml!AX49/50</f>
        <v>0</v>
      </c>
      <c r="AY48" s="1" t="n">
        <f aca="false">jaguaribe_80ml!AY49/50</f>
        <v>0.22</v>
      </c>
      <c r="AZ48" s="1" t="n">
        <f aca="false">jaguaribe_80ml!AZ49/50</f>
        <v>0</v>
      </c>
      <c r="BA48" s="1" t="n">
        <f aca="false">jaguaribe_80ml!BA49/50</f>
        <v>0</v>
      </c>
      <c r="BB48" s="1" t="n">
        <f aca="false">jaguaribe_80ml!BB49/50</f>
        <v>0</v>
      </c>
      <c r="BC48" s="1" t="n">
        <f aca="false">jaguaribe_80ml!BC49/50</f>
        <v>0.06</v>
      </c>
      <c r="BD48" s="1" t="n">
        <f aca="false">jaguaribe_80ml!BD49/50</f>
        <v>0</v>
      </c>
      <c r="BE48" s="1" t="n">
        <f aca="false">jaguaribe_80ml!BE49/50</f>
        <v>0</v>
      </c>
    </row>
    <row r="49" customFormat="false" ht="12.8" hidden="false" customHeight="false" outlineLevel="0" collapsed="false">
      <c r="A49" s="1" t="s">
        <v>67</v>
      </c>
      <c r="B49" s="1" t="n">
        <f aca="false">jaguaribe_80ml!B50/50</f>
        <v>0</v>
      </c>
      <c r="C49" s="1" t="n">
        <f aca="false">jaguaribe_80ml!C50/50</f>
        <v>0</v>
      </c>
      <c r="D49" s="1" t="n">
        <f aca="false">jaguaribe_80ml!D50/50</f>
        <v>0.44</v>
      </c>
      <c r="E49" s="1" t="n">
        <f aca="false">jaguaribe_80ml!E50/50</f>
        <v>0</v>
      </c>
      <c r="F49" s="1" t="n">
        <f aca="false">jaguaribe_80ml!F50/50</f>
        <v>0</v>
      </c>
      <c r="G49" s="1" t="n">
        <f aca="false">jaguaribe_80ml!G50/50</f>
        <v>0</v>
      </c>
      <c r="H49" s="1" t="n">
        <f aca="false">jaguaribe_80ml!H50/50</f>
        <v>0</v>
      </c>
      <c r="I49" s="1" t="n">
        <f aca="false">jaguaribe_80ml!I50/50</f>
        <v>0</v>
      </c>
      <c r="J49" s="1" t="n">
        <f aca="false">jaguaribe_80ml!J50/50</f>
        <v>0.04</v>
      </c>
      <c r="K49" s="1" t="n">
        <f aca="false">jaguaribe_80ml!K50/50</f>
        <v>0</v>
      </c>
      <c r="L49" s="1" t="n">
        <f aca="false">jaguaribe_80ml!L50/50</f>
        <v>0</v>
      </c>
      <c r="M49" s="1" t="n">
        <f aca="false">jaguaribe_80ml!M50/50</f>
        <v>0.14</v>
      </c>
      <c r="N49" s="1" t="n">
        <f aca="false">jaguaribe_80ml!N50/50</f>
        <v>0</v>
      </c>
      <c r="O49" s="1" t="n">
        <f aca="false">jaguaribe_80ml!O50/50</f>
        <v>0.04</v>
      </c>
      <c r="P49" s="1" t="n">
        <f aca="false">jaguaribe_80ml!P50/50</f>
        <v>0</v>
      </c>
      <c r="Q49" s="1" t="n">
        <f aca="false">jaguaribe_80ml!Q50/50</f>
        <v>0</v>
      </c>
      <c r="R49" s="1" t="n">
        <f aca="false">jaguaribe_80ml!R50/50</f>
        <v>0</v>
      </c>
      <c r="S49" s="1" t="n">
        <f aca="false">jaguaribe_80ml!S50/50</f>
        <v>0</v>
      </c>
      <c r="T49" s="1" t="n">
        <f aca="false">jaguaribe_80ml!T50/50</f>
        <v>0</v>
      </c>
      <c r="U49" s="1" t="n">
        <f aca="false">jaguaribe_80ml!U50/50</f>
        <v>0.06</v>
      </c>
      <c r="V49" s="1" t="n">
        <f aca="false">jaguaribe_80ml!V50/50</f>
        <v>0</v>
      </c>
      <c r="W49" s="1" t="n">
        <f aca="false">jaguaribe_80ml!W50/50</f>
        <v>0</v>
      </c>
      <c r="X49" s="1" t="n">
        <f aca="false">jaguaribe_80ml!X50/50</f>
        <v>0</v>
      </c>
      <c r="Y49" s="1" t="n">
        <f aca="false">jaguaribe_80ml!Y50/50</f>
        <v>0</v>
      </c>
      <c r="Z49" s="1" t="n">
        <f aca="false">jaguaribe_80ml!Z50/50</f>
        <v>0</v>
      </c>
      <c r="AA49" s="1" t="n">
        <f aca="false">jaguaribe_80ml!AA50/50</f>
        <v>0.04</v>
      </c>
      <c r="AB49" s="1" t="n">
        <f aca="false">jaguaribe_80ml!AB50/50</f>
        <v>0</v>
      </c>
      <c r="AC49" s="1" t="n">
        <f aca="false">jaguaribe_80ml!AC50/50</f>
        <v>0</v>
      </c>
      <c r="AD49" s="1" t="n">
        <f aca="false">jaguaribe_80ml!AD50/50</f>
        <v>0</v>
      </c>
      <c r="AE49" s="1" t="n">
        <f aca="false">jaguaribe_80ml!AE50/50</f>
        <v>0.08</v>
      </c>
      <c r="AF49" s="1" t="n">
        <f aca="false">jaguaribe_80ml!AF50/50</f>
        <v>0.48</v>
      </c>
      <c r="AG49" s="1" t="n">
        <f aca="false">jaguaribe_80ml!AG50/50</f>
        <v>0</v>
      </c>
      <c r="AH49" s="1" t="n">
        <f aca="false">jaguaribe_80ml!AH50/50</f>
        <v>0</v>
      </c>
      <c r="AI49" s="1" t="n">
        <f aca="false">jaguaribe_80ml!AI50/50</f>
        <v>0.14</v>
      </c>
      <c r="AJ49" s="1" t="n">
        <f aca="false">jaguaribe_80ml!AJ50/50</f>
        <v>0.68</v>
      </c>
      <c r="AK49" s="1" t="n">
        <f aca="false">jaguaribe_80ml!AK50/50</f>
        <v>0</v>
      </c>
      <c r="AL49" s="1" t="n">
        <f aca="false">jaguaribe_80ml!AL50/50</f>
        <v>0</v>
      </c>
      <c r="AM49" s="1" t="n">
        <f aca="false">jaguaribe_80ml!AM50/50</f>
        <v>0</v>
      </c>
      <c r="AN49" s="1" t="n">
        <f aca="false">jaguaribe_80ml!AN50/50</f>
        <v>0</v>
      </c>
      <c r="AO49" s="1" t="n">
        <f aca="false">jaguaribe_80ml!AO50/50</f>
        <v>0</v>
      </c>
      <c r="AP49" s="1" t="n">
        <f aca="false">jaguaribe_80ml!AP50/50</f>
        <v>0</v>
      </c>
      <c r="AQ49" s="1" t="n">
        <f aca="false">jaguaribe_80ml!AQ50/50</f>
        <v>0</v>
      </c>
      <c r="AR49" s="1" t="n">
        <f aca="false">jaguaribe_80ml!AR50/50</f>
        <v>0.02</v>
      </c>
      <c r="AS49" s="1" t="n">
        <f aca="false">jaguaribe_80ml!AS50/50</f>
        <v>0</v>
      </c>
      <c r="AT49" s="1" t="n">
        <f aca="false">jaguaribe_80ml!AT50/50</f>
        <v>8.5</v>
      </c>
      <c r="AU49" s="1" t="n">
        <f aca="false">jaguaribe_80ml!AU50/50</f>
        <v>0</v>
      </c>
      <c r="AV49" s="1" t="n">
        <f aca="false">jaguaribe_80ml!AV50/50</f>
        <v>0</v>
      </c>
      <c r="AW49" s="1" t="n">
        <f aca="false">jaguaribe_80ml!AW50/50</f>
        <v>0</v>
      </c>
      <c r="AX49" s="1" t="n">
        <f aca="false">jaguaribe_80ml!AX50/50</f>
        <v>0.04</v>
      </c>
      <c r="AY49" s="1" t="n">
        <f aca="false">jaguaribe_80ml!AY50/50</f>
        <v>0.16</v>
      </c>
      <c r="AZ49" s="1" t="n">
        <f aca="false">jaguaribe_80ml!AZ50/50</f>
        <v>0</v>
      </c>
      <c r="BA49" s="1" t="n">
        <f aca="false">jaguaribe_80ml!BA50/50</f>
        <v>0</v>
      </c>
      <c r="BB49" s="1" t="n">
        <f aca="false">jaguaribe_80ml!BB50/50</f>
        <v>0</v>
      </c>
      <c r="BC49" s="1" t="n">
        <f aca="false">jaguaribe_80ml!BC50/50</f>
        <v>0.06</v>
      </c>
      <c r="BD49" s="1" t="n">
        <f aca="false">jaguaribe_80ml!BD50/50</f>
        <v>0</v>
      </c>
      <c r="BE49" s="1" t="n">
        <f aca="false">jaguaribe_80ml!BE50/50</f>
        <v>0</v>
      </c>
    </row>
    <row r="50" customFormat="false" ht="12.8" hidden="false" customHeight="false" outlineLevel="0" collapsed="false">
      <c r="A50" s="1" t="s">
        <v>68</v>
      </c>
      <c r="B50" s="1" t="n">
        <f aca="false">jaguaribe_80ml!B51/50</f>
        <v>0</v>
      </c>
      <c r="C50" s="1" t="n">
        <f aca="false">jaguaribe_80ml!C51/50</f>
        <v>0</v>
      </c>
      <c r="D50" s="1" t="n">
        <f aca="false">jaguaribe_80ml!D51/50</f>
        <v>0.22</v>
      </c>
      <c r="E50" s="1" t="n">
        <f aca="false">jaguaribe_80ml!E51/50</f>
        <v>0.14</v>
      </c>
      <c r="F50" s="1" t="n">
        <f aca="false">jaguaribe_80ml!F51/50</f>
        <v>1.04</v>
      </c>
      <c r="G50" s="1" t="n">
        <f aca="false">jaguaribe_80ml!G51/50</f>
        <v>0.02</v>
      </c>
      <c r="H50" s="1" t="n">
        <f aca="false">jaguaribe_80ml!H51/50</f>
        <v>0.94</v>
      </c>
      <c r="I50" s="1" t="n">
        <f aca="false">jaguaribe_80ml!I51/50</f>
        <v>0.02</v>
      </c>
      <c r="J50" s="1" t="n">
        <f aca="false">jaguaribe_80ml!J51/50</f>
        <v>0.12</v>
      </c>
      <c r="K50" s="1" t="n">
        <f aca="false">jaguaribe_80ml!K51/50</f>
        <v>0</v>
      </c>
      <c r="L50" s="1" t="n">
        <f aca="false">jaguaribe_80ml!L51/50</f>
        <v>0</v>
      </c>
      <c r="M50" s="1" t="n">
        <f aca="false">jaguaribe_80ml!M51/50</f>
        <v>15.58</v>
      </c>
      <c r="N50" s="1" t="n">
        <f aca="false">jaguaribe_80ml!N51/50</f>
        <v>0</v>
      </c>
      <c r="O50" s="1" t="n">
        <f aca="false">jaguaribe_80ml!O51/50</f>
        <v>1.18</v>
      </c>
      <c r="P50" s="1" t="n">
        <f aca="false">jaguaribe_80ml!P51/50</f>
        <v>0</v>
      </c>
      <c r="Q50" s="1" t="n">
        <f aca="false">jaguaribe_80ml!Q51/50</f>
        <v>0</v>
      </c>
      <c r="R50" s="1" t="n">
        <f aca="false">jaguaribe_80ml!R51/50</f>
        <v>0</v>
      </c>
      <c r="S50" s="1" t="n">
        <f aca="false">jaguaribe_80ml!S51/50</f>
        <v>0</v>
      </c>
      <c r="T50" s="1" t="n">
        <f aca="false">jaguaribe_80ml!T51/50</f>
        <v>0.04</v>
      </c>
      <c r="U50" s="1" t="n">
        <f aca="false">jaguaribe_80ml!U51/50</f>
        <v>0.24</v>
      </c>
      <c r="V50" s="1" t="n">
        <f aca="false">jaguaribe_80ml!V51/50</f>
        <v>0</v>
      </c>
      <c r="W50" s="1" t="n">
        <f aca="false">jaguaribe_80ml!W51/50</f>
        <v>0</v>
      </c>
      <c r="X50" s="1" t="n">
        <f aca="false">jaguaribe_80ml!X51/50</f>
        <v>0</v>
      </c>
      <c r="Y50" s="1" t="n">
        <f aca="false">jaguaribe_80ml!Y51/50</f>
        <v>0</v>
      </c>
      <c r="Z50" s="1" t="n">
        <f aca="false">jaguaribe_80ml!Z51/50</f>
        <v>0.02</v>
      </c>
      <c r="AA50" s="1" t="n">
        <f aca="false">jaguaribe_80ml!AA51/50</f>
        <v>0.94</v>
      </c>
      <c r="AB50" s="1" t="n">
        <f aca="false">jaguaribe_80ml!AB51/50</f>
        <v>0</v>
      </c>
      <c r="AC50" s="1" t="n">
        <f aca="false">jaguaribe_80ml!AC51/50</f>
        <v>0</v>
      </c>
      <c r="AD50" s="1" t="n">
        <f aca="false">jaguaribe_80ml!AD51/50</f>
        <v>0</v>
      </c>
      <c r="AE50" s="1" t="n">
        <f aca="false">jaguaribe_80ml!AE51/50</f>
        <v>0</v>
      </c>
      <c r="AF50" s="1" t="n">
        <f aca="false">jaguaribe_80ml!AF51/50</f>
        <v>0.02</v>
      </c>
      <c r="AG50" s="1" t="n">
        <f aca="false">jaguaribe_80ml!AG51/50</f>
        <v>0</v>
      </c>
      <c r="AH50" s="1" t="n">
        <f aca="false">jaguaribe_80ml!AH51/50</f>
        <v>0</v>
      </c>
      <c r="AI50" s="1" t="n">
        <f aca="false">jaguaribe_80ml!AI51/50</f>
        <v>0.14</v>
      </c>
      <c r="AJ50" s="1" t="n">
        <f aca="false">jaguaribe_80ml!AJ51/50</f>
        <v>0.08</v>
      </c>
      <c r="AK50" s="1" t="n">
        <f aca="false">jaguaribe_80ml!AK51/50</f>
        <v>0</v>
      </c>
      <c r="AL50" s="1" t="n">
        <f aca="false">jaguaribe_80ml!AL51/50</f>
        <v>0</v>
      </c>
      <c r="AM50" s="1" t="n">
        <f aca="false">jaguaribe_80ml!AM51/50</f>
        <v>0</v>
      </c>
      <c r="AN50" s="1" t="n">
        <f aca="false">jaguaribe_80ml!AN51/50</f>
        <v>0</v>
      </c>
      <c r="AO50" s="1" t="n">
        <f aca="false">jaguaribe_80ml!AO51/50</f>
        <v>0</v>
      </c>
      <c r="AP50" s="1" t="n">
        <f aca="false">jaguaribe_80ml!AP51/50</f>
        <v>0</v>
      </c>
      <c r="AQ50" s="1" t="n">
        <f aca="false">jaguaribe_80ml!AQ51/50</f>
        <v>0</v>
      </c>
      <c r="AR50" s="1" t="n">
        <f aca="false">jaguaribe_80ml!AR51/50</f>
        <v>0.1</v>
      </c>
      <c r="AS50" s="1" t="n">
        <f aca="false">jaguaribe_80ml!AS51/50</f>
        <v>0.14</v>
      </c>
      <c r="AT50" s="1" t="n">
        <f aca="false">jaguaribe_80ml!AT51/50</f>
        <v>41.02</v>
      </c>
      <c r="AU50" s="1" t="n">
        <f aca="false">jaguaribe_80ml!AU51/50</f>
        <v>0</v>
      </c>
      <c r="AV50" s="1" t="n">
        <f aca="false">jaguaribe_80ml!AV51/50</f>
        <v>0</v>
      </c>
      <c r="AW50" s="1" t="n">
        <f aca="false">jaguaribe_80ml!AW51/50</f>
        <v>0</v>
      </c>
      <c r="AX50" s="1" t="n">
        <f aca="false">jaguaribe_80ml!AX51/50</f>
        <v>0</v>
      </c>
      <c r="AY50" s="1" t="n">
        <f aca="false">jaguaribe_80ml!AY51/50</f>
        <v>0</v>
      </c>
      <c r="AZ50" s="1" t="n">
        <f aca="false">jaguaribe_80ml!AZ51/50</f>
        <v>0</v>
      </c>
      <c r="BA50" s="1" t="n">
        <f aca="false">jaguaribe_80ml!BA51/50</f>
        <v>0.02</v>
      </c>
      <c r="BB50" s="1" t="n">
        <f aca="false">jaguaribe_80ml!BB51/50</f>
        <v>0.02</v>
      </c>
      <c r="BC50" s="1" t="n">
        <f aca="false">jaguaribe_80ml!BC51/50</f>
        <v>0.14</v>
      </c>
      <c r="BD50" s="1" t="n">
        <f aca="false">jaguaribe_80ml!BD51/50</f>
        <v>0</v>
      </c>
      <c r="BE50" s="1" t="n">
        <f aca="false">jaguaribe_80ml!BE51/50</f>
        <v>0</v>
      </c>
    </row>
    <row r="51" customFormat="false" ht="12.8" hidden="false" customHeight="false" outlineLevel="0" collapsed="false">
      <c r="A51" s="1" t="s">
        <v>69</v>
      </c>
      <c r="B51" s="1" t="n">
        <f aca="false">jaguaribe_80ml!B52/50</f>
        <v>0</v>
      </c>
      <c r="C51" s="1" t="n">
        <f aca="false">jaguaribe_80ml!C52/50</f>
        <v>0</v>
      </c>
      <c r="D51" s="1" t="n">
        <f aca="false">jaguaribe_80ml!D52/50</f>
        <v>1</v>
      </c>
      <c r="E51" s="1" t="n">
        <f aca="false">jaguaribe_80ml!E52/50</f>
        <v>0.06</v>
      </c>
      <c r="F51" s="1" t="n">
        <f aca="false">jaguaribe_80ml!F52/50</f>
        <v>2.1</v>
      </c>
      <c r="G51" s="1" t="n">
        <f aca="false">jaguaribe_80ml!G52/50</f>
        <v>0.02</v>
      </c>
      <c r="H51" s="1" t="n">
        <f aca="false">jaguaribe_80ml!H52/50</f>
        <v>2.28</v>
      </c>
      <c r="I51" s="1" t="n">
        <f aca="false">jaguaribe_80ml!I52/50</f>
        <v>0.02</v>
      </c>
      <c r="J51" s="1" t="n">
        <f aca="false">jaguaribe_80ml!J52/50</f>
        <v>0.4</v>
      </c>
      <c r="K51" s="1" t="n">
        <f aca="false">jaguaribe_80ml!K52/50</f>
        <v>0</v>
      </c>
      <c r="L51" s="1" t="n">
        <f aca="false">jaguaribe_80ml!L52/50</f>
        <v>0.02</v>
      </c>
      <c r="M51" s="1" t="n">
        <f aca="false">jaguaribe_80ml!M52/50</f>
        <v>28.9</v>
      </c>
      <c r="N51" s="1" t="n">
        <f aca="false">jaguaribe_80ml!N52/50</f>
        <v>0</v>
      </c>
      <c r="O51" s="1" t="n">
        <f aca="false">jaguaribe_80ml!O52/50</f>
        <v>2.44</v>
      </c>
      <c r="P51" s="1" t="n">
        <f aca="false">jaguaribe_80ml!P52/50</f>
        <v>0</v>
      </c>
      <c r="Q51" s="1" t="n">
        <f aca="false">jaguaribe_80ml!Q52/50</f>
        <v>0</v>
      </c>
      <c r="R51" s="1" t="n">
        <f aca="false">jaguaribe_80ml!R52/50</f>
        <v>0</v>
      </c>
      <c r="S51" s="1" t="n">
        <f aca="false">jaguaribe_80ml!S52/50</f>
        <v>0</v>
      </c>
      <c r="T51" s="1" t="n">
        <f aca="false">jaguaribe_80ml!T52/50</f>
        <v>0.14</v>
      </c>
      <c r="U51" s="1" t="n">
        <f aca="false">jaguaribe_80ml!U52/50</f>
        <v>0.56</v>
      </c>
      <c r="V51" s="1" t="n">
        <f aca="false">jaguaribe_80ml!V52/50</f>
        <v>0</v>
      </c>
      <c r="W51" s="1" t="n">
        <f aca="false">jaguaribe_80ml!W52/50</f>
        <v>0</v>
      </c>
      <c r="X51" s="1" t="n">
        <f aca="false">jaguaribe_80ml!X52/50</f>
        <v>0</v>
      </c>
      <c r="Y51" s="1" t="n">
        <f aca="false">jaguaribe_80ml!Y52/50</f>
        <v>0.08</v>
      </c>
      <c r="Z51" s="1" t="n">
        <f aca="false">jaguaribe_80ml!Z52/50</f>
        <v>0.02</v>
      </c>
      <c r="AA51" s="1" t="n">
        <f aca="false">jaguaribe_80ml!AA52/50</f>
        <v>2</v>
      </c>
      <c r="AB51" s="1" t="n">
        <f aca="false">jaguaribe_80ml!AB52/50</f>
        <v>0</v>
      </c>
      <c r="AC51" s="1" t="n">
        <f aca="false">jaguaribe_80ml!AC52/50</f>
        <v>0</v>
      </c>
      <c r="AD51" s="1" t="n">
        <f aca="false">jaguaribe_80ml!AD52/50</f>
        <v>0.12</v>
      </c>
      <c r="AE51" s="1" t="n">
        <f aca="false">jaguaribe_80ml!AE52/50</f>
        <v>0</v>
      </c>
      <c r="AF51" s="1" t="n">
        <f aca="false">jaguaribe_80ml!AF52/50</f>
        <v>0</v>
      </c>
      <c r="AG51" s="1" t="n">
        <f aca="false">jaguaribe_80ml!AG52/50</f>
        <v>0</v>
      </c>
      <c r="AH51" s="1" t="n">
        <f aca="false">jaguaribe_80ml!AH52/50</f>
        <v>0</v>
      </c>
      <c r="AI51" s="1" t="n">
        <f aca="false">jaguaribe_80ml!AI52/50</f>
        <v>0.16</v>
      </c>
      <c r="AJ51" s="1" t="n">
        <f aca="false">jaguaribe_80ml!AJ52/50</f>
        <v>0.14</v>
      </c>
      <c r="AK51" s="1" t="n">
        <f aca="false">jaguaribe_80ml!AK52/50</f>
        <v>0.2</v>
      </c>
      <c r="AL51" s="1" t="n">
        <f aca="false">jaguaribe_80ml!AL52/50</f>
        <v>0</v>
      </c>
      <c r="AM51" s="1" t="n">
        <f aca="false">jaguaribe_80ml!AM52/50</f>
        <v>0</v>
      </c>
      <c r="AN51" s="1" t="n">
        <f aca="false">jaguaribe_80ml!AN52/50</f>
        <v>0</v>
      </c>
      <c r="AO51" s="1" t="n">
        <f aca="false">jaguaribe_80ml!AO52/50</f>
        <v>0</v>
      </c>
      <c r="AP51" s="1" t="n">
        <f aca="false">jaguaribe_80ml!AP52/50</f>
        <v>0</v>
      </c>
      <c r="AQ51" s="1" t="n">
        <f aca="false">jaguaribe_80ml!AQ52/50</f>
        <v>0</v>
      </c>
      <c r="AR51" s="1" t="n">
        <f aca="false">jaguaribe_80ml!AR52/50</f>
        <v>0.08</v>
      </c>
      <c r="AS51" s="1" t="n">
        <f aca="false">jaguaribe_80ml!AS52/50</f>
        <v>0.44</v>
      </c>
      <c r="AT51" s="1" t="n">
        <f aca="false">jaguaribe_80ml!AT52/50</f>
        <v>77.58</v>
      </c>
      <c r="AU51" s="1" t="n">
        <f aca="false">jaguaribe_80ml!AU52/50</f>
        <v>0</v>
      </c>
      <c r="AV51" s="1" t="n">
        <f aca="false">jaguaribe_80ml!AV52/50</f>
        <v>0</v>
      </c>
      <c r="AW51" s="1" t="n">
        <f aca="false">jaguaribe_80ml!AW52/50</f>
        <v>0</v>
      </c>
      <c r="AX51" s="1" t="n">
        <f aca="false">jaguaribe_80ml!AX52/50</f>
        <v>0</v>
      </c>
      <c r="AY51" s="1" t="n">
        <f aca="false">jaguaribe_80ml!AY52/50</f>
        <v>0</v>
      </c>
      <c r="AZ51" s="1" t="n">
        <f aca="false">jaguaribe_80ml!AZ52/50</f>
        <v>0</v>
      </c>
      <c r="BA51" s="1" t="n">
        <f aca="false">jaguaribe_80ml!BA52/50</f>
        <v>0</v>
      </c>
      <c r="BB51" s="1" t="n">
        <f aca="false">jaguaribe_80ml!BB52/50</f>
        <v>0.12</v>
      </c>
      <c r="BC51" s="1" t="n">
        <f aca="false">jaguaribe_80ml!BC52/50</f>
        <v>0.2</v>
      </c>
      <c r="BD51" s="1" t="n">
        <f aca="false">jaguaribe_80ml!BD52/50</f>
        <v>0.02</v>
      </c>
      <c r="BE51" s="1" t="n">
        <f aca="false">jaguaribe_80ml!BE52/50</f>
        <v>0</v>
      </c>
    </row>
    <row r="52" customFormat="false" ht="12.8" hidden="false" customHeight="false" outlineLevel="0" collapsed="false">
      <c r="A52" s="1" t="s">
        <v>70</v>
      </c>
      <c r="B52" s="1" t="n">
        <f aca="false">jaguaribe_80ml!B53/50</f>
        <v>0</v>
      </c>
      <c r="C52" s="1" t="n">
        <f aca="false">jaguaribe_80ml!C53/50</f>
        <v>0</v>
      </c>
      <c r="D52" s="1" t="n">
        <f aca="false">jaguaribe_80ml!D53/50</f>
        <v>0.3</v>
      </c>
      <c r="E52" s="1" t="n">
        <f aca="false">jaguaribe_80ml!E53/50</f>
        <v>0</v>
      </c>
      <c r="F52" s="1" t="n">
        <f aca="false">jaguaribe_80ml!F53/50</f>
        <v>1.8</v>
      </c>
      <c r="G52" s="1" t="n">
        <f aca="false">jaguaribe_80ml!G53/50</f>
        <v>0</v>
      </c>
      <c r="H52" s="1" t="n">
        <f aca="false">jaguaribe_80ml!H53/50</f>
        <v>0.88</v>
      </c>
      <c r="I52" s="1" t="n">
        <f aca="false">jaguaribe_80ml!I53/50</f>
        <v>0</v>
      </c>
      <c r="J52" s="1" t="n">
        <f aca="false">jaguaribe_80ml!J53/50</f>
        <v>0.1</v>
      </c>
      <c r="K52" s="1" t="n">
        <f aca="false">jaguaribe_80ml!K53/50</f>
        <v>0</v>
      </c>
      <c r="L52" s="1" t="n">
        <f aca="false">jaguaribe_80ml!L53/50</f>
        <v>0</v>
      </c>
      <c r="M52" s="1" t="n">
        <f aca="false">jaguaribe_80ml!M53/50</f>
        <v>22.32</v>
      </c>
      <c r="N52" s="1" t="n">
        <f aca="false">jaguaribe_80ml!N53/50</f>
        <v>0</v>
      </c>
      <c r="O52" s="1" t="n">
        <f aca="false">jaguaribe_80ml!O53/50</f>
        <v>1.82</v>
      </c>
      <c r="P52" s="1" t="n">
        <f aca="false">jaguaribe_80ml!P53/50</f>
        <v>0</v>
      </c>
      <c r="Q52" s="1" t="n">
        <f aca="false">jaguaribe_80ml!Q53/50</f>
        <v>0</v>
      </c>
      <c r="R52" s="1" t="n">
        <f aca="false">jaguaribe_80ml!R53/50</f>
        <v>0</v>
      </c>
      <c r="S52" s="1" t="n">
        <f aca="false">jaguaribe_80ml!S53/50</f>
        <v>0</v>
      </c>
      <c r="T52" s="1" t="n">
        <f aca="false">jaguaribe_80ml!T53/50</f>
        <v>0.08</v>
      </c>
      <c r="U52" s="1" t="n">
        <f aca="false">jaguaribe_80ml!U53/50</f>
        <v>0.3</v>
      </c>
      <c r="V52" s="1" t="n">
        <f aca="false">jaguaribe_80ml!V53/50</f>
        <v>0</v>
      </c>
      <c r="W52" s="1" t="n">
        <f aca="false">jaguaribe_80ml!W53/50</f>
        <v>0</v>
      </c>
      <c r="X52" s="1" t="n">
        <f aca="false">jaguaribe_80ml!X53/50</f>
        <v>0</v>
      </c>
      <c r="Y52" s="1" t="n">
        <f aca="false">jaguaribe_80ml!Y53/50</f>
        <v>0.04</v>
      </c>
      <c r="Z52" s="1" t="n">
        <f aca="false">jaguaribe_80ml!Z53/50</f>
        <v>0.02</v>
      </c>
      <c r="AA52" s="1" t="n">
        <f aca="false">jaguaribe_80ml!AA53/50</f>
        <v>0.78</v>
      </c>
      <c r="AB52" s="1" t="n">
        <f aca="false">jaguaribe_80ml!AB53/50</f>
        <v>0</v>
      </c>
      <c r="AC52" s="1" t="n">
        <f aca="false">jaguaribe_80ml!AC53/50</f>
        <v>0</v>
      </c>
      <c r="AD52" s="1" t="n">
        <f aca="false">jaguaribe_80ml!AD53/50</f>
        <v>0.02</v>
      </c>
      <c r="AE52" s="1" t="n">
        <f aca="false">jaguaribe_80ml!AE53/50</f>
        <v>0.02</v>
      </c>
      <c r="AF52" s="1" t="n">
        <f aca="false">jaguaribe_80ml!AF53/50</f>
        <v>0</v>
      </c>
      <c r="AG52" s="1" t="n">
        <f aca="false">jaguaribe_80ml!AG53/50</f>
        <v>0</v>
      </c>
      <c r="AH52" s="1" t="n">
        <f aca="false">jaguaribe_80ml!AH53/50</f>
        <v>0</v>
      </c>
      <c r="AI52" s="1" t="n">
        <f aca="false">jaguaribe_80ml!AI53/50</f>
        <v>0.06</v>
      </c>
      <c r="AJ52" s="1" t="n">
        <f aca="false">jaguaribe_80ml!AJ53/50</f>
        <v>0.02</v>
      </c>
      <c r="AK52" s="1" t="n">
        <f aca="false">jaguaribe_80ml!AK53/50</f>
        <v>0.14</v>
      </c>
      <c r="AL52" s="1" t="n">
        <f aca="false">jaguaribe_80ml!AL53/50</f>
        <v>0.02</v>
      </c>
      <c r="AM52" s="1" t="n">
        <f aca="false">jaguaribe_80ml!AM53/50</f>
        <v>0</v>
      </c>
      <c r="AN52" s="1" t="n">
        <f aca="false">jaguaribe_80ml!AN53/50</f>
        <v>0</v>
      </c>
      <c r="AO52" s="1" t="n">
        <f aca="false">jaguaribe_80ml!AO53/50</f>
        <v>0</v>
      </c>
      <c r="AP52" s="1" t="n">
        <f aca="false">jaguaribe_80ml!AP53/50</f>
        <v>0</v>
      </c>
      <c r="AQ52" s="1" t="n">
        <f aca="false">jaguaribe_80ml!AQ53/50</f>
        <v>0</v>
      </c>
      <c r="AR52" s="1" t="n">
        <f aca="false">jaguaribe_80ml!AR53/50</f>
        <v>0.04</v>
      </c>
      <c r="AS52" s="1" t="n">
        <f aca="false">jaguaribe_80ml!AS53/50</f>
        <v>0.22</v>
      </c>
      <c r="AT52" s="1" t="n">
        <f aca="false">jaguaribe_80ml!AT53/50</f>
        <v>34.32</v>
      </c>
      <c r="AU52" s="1" t="n">
        <f aca="false">jaguaribe_80ml!AU53/50</f>
        <v>0</v>
      </c>
      <c r="AV52" s="1" t="n">
        <f aca="false">jaguaribe_80ml!AV53/50</f>
        <v>0</v>
      </c>
      <c r="AW52" s="1" t="n">
        <f aca="false">jaguaribe_80ml!AW53/50</f>
        <v>0</v>
      </c>
      <c r="AX52" s="1" t="n">
        <f aca="false">jaguaribe_80ml!AX53/50</f>
        <v>0</v>
      </c>
      <c r="AY52" s="1" t="n">
        <f aca="false">jaguaribe_80ml!AY53/50</f>
        <v>0</v>
      </c>
      <c r="AZ52" s="1" t="n">
        <f aca="false">jaguaribe_80ml!AZ53/50</f>
        <v>0</v>
      </c>
      <c r="BA52" s="1" t="n">
        <f aca="false">jaguaribe_80ml!BA53/50</f>
        <v>0</v>
      </c>
      <c r="BB52" s="1" t="n">
        <f aca="false">jaguaribe_80ml!BB53/50</f>
        <v>0.04</v>
      </c>
      <c r="BC52" s="1" t="n">
        <f aca="false">jaguaribe_80ml!BC53/50</f>
        <v>0.14</v>
      </c>
      <c r="BD52" s="1" t="n">
        <f aca="false">jaguaribe_80ml!BD53/50</f>
        <v>0.02</v>
      </c>
      <c r="BE52" s="1" t="n">
        <f aca="false">jaguaribe_80ml!BE53/50</f>
        <v>0</v>
      </c>
    </row>
    <row r="53" customFormat="false" ht="12.8" hidden="false" customHeight="false" outlineLevel="0" collapsed="false">
      <c r="A53" s="1" t="s">
        <v>71</v>
      </c>
      <c r="B53" s="1" t="n">
        <f aca="false">jaguaribe_80ml!B54/50</f>
        <v>0</v>
      </c>
      <c r="C53" s="1" t="n">
        <f aca="false">jaguaribe_80ml!C54/50</f>
        <v>0</v>
      </c>
      <c r="D53" s="1" t="n">
        <f aca="false">jaguaribe_80ml!D54/50</f>
        <v>1.52</v>
      </c>
      <c r="E53" s="1" t="n">
        <f aca="false">jaguaribe_80ml!E54/50</f>
        <v>0.04</v>
      </c>
      <c r="F53" s="1" t="n">
        <f aca="false">jaguaribe_80ml!F54/50</f>
        <v>2.82</v>
      </c>
      <c r="G53" s="1" t="n">
        <f aca="false">jaguaribe_80ml!G54/50</f>
        <v>0</v>
      </c>
      <c r="H53" s="1" t="n">
        <f aca="false">jaguaribe_80ml!H54/50</f>
        <v>0.04</v>
      </c>
      <c r="I53" s="1" t="n">
        <f aca="false">jaguaribe_80ml!I54/50</f>
        <v>0</v>
      </c>
      <c r="J53" s="1" t="n">
        <f aca="false">jaguaribe_80ml!J54/50</f>
        <v>0</v>
      </c>
      <c r="K53" s="1" t="n">
        <f aca="false">jaguaribe_80ml!K54/50</f>
        <v>0.02</v>
      </c>
      <c r="L53" s="1" t="n">
        <f aca="false">jaguaribe_80ml!L54/50</f>
        <v>0</v>
      </c>
      <c r="M53" s="1" t="n">
        <f aca="false">jaguaribe_80ml!M54/50</f>
        <v>0.32</v>
      </c>
      <c r="N53" s="1" t="n">
        <f aca="false">jaguaribe_80ml!N54/50</f>
        <v>0</v>
      </c>
      <c r="O53" s="1" t="n">
        <f aca="false">jaguaribe_80ml!O54/50</f>
        <v>0.04</v>
      </c>
      <c r="P53" s="1" t="n">
        <f aca="false">jaguaribe_80ml!P54/50</f>
        <v>0</v>
      </c>
      <c r="Q53" s="1" t="n">
        <f aca="false">jaguaribe_80ml!Q54/50</f>
        <v>0</v>
      </c>
      <c r="R53" s="1" t="n">
        <f aca="false">jaguaribe_80ml!R54/50</f>
        <v>0</v>
      </c>
      <c r="S53" s="1" t="n">
        <f aca="false">jaguaribe_80ml!S54/50</f>
        <v>0</v>
      </c>
      <c r="T53" s="1" t="n">
        <f aca="false">jaguaribe_80ml!T54/50</f>
        <v>1.3</v>
      </c>
      <c r="U53" s="1" t="n">
        <f aca="false">jaguaribe_80ml!U54/50</f>
        <v>0.16</v>
      </c>
      <c r="V53" s="1" t="n">
        <f aca="false">jaguaribe_80ml!V54/50</f>
        <v>0</v>
      </c>
      <c r="W53" s="1" t="n">
        <f aca="false">jaguaribe_80ml!W54/50</f>
        <v>2.04</v>
      </c>
      <c r="X53" s="1" t="n">
        <f aca="false">jaguaribe_80ml!X54/50</f>
        <v>0</v>
      </c>
      <c r="Y53" s="1" t="n">
        <f aca="false">jaguaribe_80ml!Y54/50</f>
        <v>0</v>
      </c>
      <c r="Z53" s="1" t="n">
        <f aca="false">jaguaribe_80ml!Z54/50</f>
        <v>0</v>
      </c>
      <c r="AA53" s="1" t="n">
        <f aca="false">jaguaribe_80ml!AA54/50</f>
        <v>0.06</v>
      </c>
      <c r="AB53" s="1" t="n">
        <f aca="false">jaguaribe_80ml!AB54/50</f>
        <v>0</v>
      </c>
      <c r="AC53" s="1" t="n">
        <f aca="false">jaguaribe_80ml!AC54/50</f>
        <v>0</v>
      </c>
      <c r="AD53" s="1" t="n">
        <f aca="false">jaguaribe_80ml!AD54/50</f>
        <v>0</v>
      </c>
      <c r="AE53" s="1" t="n">
        <f aca="false">jaguaribe_80ml!AE54/50</f>
        <v>0</v>
      </c>
      <c r="AF53" s="1" t="n">
        <f aca="false">jaguaribe_80ml!AF54/50</f>
        <v>0</v>
      </c>
      <c r="AG53" s="1" t="n">
        <f aca="false">jaguaribe_80ml!AG54/50</f>
        <v>0</v>
      </c>
      <c r="AH53" s="1" t="n">
        <f aca="false">jaguaribe_80ml!AH54/50</f>
        <v>0</v>
      </c>
      <c r="AI53" s="1" t="n">
        <f aca="false">jaguaribe_80ml!AI54/50</f>
        <v>0</v>
      </c>
      <c r="AJ53" s="1" t="n">
        <f aca="false">jaguaribe_80ml!AJ54/50</f>
        <v>0</v>
      </c>
      <c r="AK53" s="1" t="n">
        <f aca="false">jaguaribe_80ml!AK54/50</f>
        <v>0</v>
      </c>
      <c r="AL53" s="1" t="n">
        <f aca="false">jaguaribe_80ml!AL54/50</f>
        <v>0</v>
      </c>
      <c r="AM53" s="1" t="n">
        <f aca="false">jaguaribe_80ml!AM54/50</f>
        <v>0</v>
      </c>
      <c r="AN53" s="1" t="n">
        <f aca="false">jaguaribe_80ml!AN54/50</f>
        <v>0</v>
      </c>
      <c r="AO53" s="1" t="n">
        <f aca="false">jaguaribe_80ml!AO54/50</f>
        <v>0</v>
      </c>
      <c r="AP53" s="1" t="n">
        <f aca="false">jaguaribe_80ml!AP54/50</f>
        <v>0</v>
      </c>
      <c r="AQ53" s="1" t="n">
        <f aca="false">jaguaribe_80ml!AQ54/50</f>
        <v>0</v>
      </c>
      <c r="AR53" s="1" t="n">
        <f aca="false">jaguaribe_80ml!AR54/50</f>
        <v>0</v>
      </c>
      <c r="AS53" s="1" t="n">
        <f aca="false">jaguaribe_80ml!AS54/50</f>
        <v>0</v>
      </c>
      <c r="AT53" s="1" t="n">
        <f aca="false">jaguaribe_80ml!AT54/50</f>
        <v>1.96</v>
      </c>
      <c r="AU53" s="1" t="n">
        <f aca="false">jaguaribe_80ml!AU54/50</f>
        <v>0</v>
      </c>
      <c r="AV53" s="1" t="n">
        <f aca="false">jaguaribe_80ml!AV54/50</f>
        <v>0</v>
      </c>
      <c r="AW53" s="1" t="n">
        <f aca="false">jaguaribe_80ml!AW54/50</f>
        <v>0</v>
      </c>
      <c r="AX53" s="1" t="n">
        <f aca="false">jaguaribe_80ml!AX54/50</f>
        <v>0</v>
      </c>
      <c r="AY53" s="1" t="n">
        <f aca="false">jaguaribe_80ml!AY54/50</f>
        <v>0</v>
      </c>
      <c r="AZ53" s="1" t="n">
        <f aca="false">jaguaribe_80ml!AZ54/50</f>
        <v>0</v>
      </c>
      <c r="BA53" s="1" t="n">
        <f aca="false">jaguaribe_80ml!BA54/50</f>
        <v>0</v>
      </c>
      <c r="BB53" s="1" t="n">
        <f aca="false">jaguaribe_80ml!BB54/50</f>
        <v>0.04</v>
      </c>
      <c r="BC53" s="1" t="n">
        <f aca="false">jaguaribe_80ml!BC54/50</f>
        <v>0</v>
      </c>
      <c r="BD53" s="1" t="n">
        <f aca="false">jaguaribe_80ml!BD54/50</f>
        <v>0.02</v>
      </c>
      <c r="BE53" s="1" t="n">
        <f aca="false">jaguaribe_80ml!BE54/50</f>
        <v>0</v>
      </c>
    </row>
    <row r="54" customFormat="false" ht="12.8" hidden="false" customHeight="false" outlineLevel="0" collapsed="false">
      <c r="A54" s="1" t="s">
        <v>72</v>
      </c>
      <c r="B54" s="1" t="n">
        <f aca="false">jaguaribe_80ml!B55/50</f>
        <v>0</v>
      </c>
      <c r="C54" s="1" t="n">
        <f aca="false">jaguaribe_80ml!C55/50</f>
        <v>0</v>
      </c>
      <c r="D54" s="1" t="n">
        <f aca="false">jaguaribe_80ml!D55/50</f>
        <v>2.78</v>
      </c>
      <c r="E54" s="1" t="n">
        <f aca="false">jaguaribe_80ml!E55/50</f>
        <v>0.06</v>
      </c>
      <c r="F54" s="1" t="n">
        <f aca="false">jaguaribe_80ml!F55/50</f>
        <v>1.82</v>
      </c>
      <c r="G54" s="1" t="n">
        <f aca="false">jaguaribe_80ml!G55/50</f>
        <v>0.04</v>
      </c>
      <c r="H54" s="1" t="n">
        <f aca="false">jaguaribe_80ml!H55/50</f>
        <v>0.12</v>
      </c>
      <c r="I54" s="1" t="n">
        <f aca="false">jaguaribe_80ml!I55/50</f>
        <v>0.04</v>
      </c>
      <c r="J54" s="1" t="n">
        <f aca="false">jaguaribe_80ml!J55/50</f>
        <v>0.06</v>
      </c>
      <c r="K54" s="1" t="n">
        <f aca="false">jaguaribe_80ml!K55/50</f>
        <v>0</v>
      </c>
      <c r="L54" s="1" t="n">
        <f aca="false">jaguaribe_80ml!L55/50</f>
        <v>0</v>
      </c>
      <c r="M54" s="1" t="n">
        <f aca="false">jaguaribe_80ml!M55/50</f>
        <v>1</v>
      </c>
      <c r="N54" s="1" t="n">
        <f aca="false">jaguaribe_80ml!N55/50</f>
        <v>0</v>
      </c>
      <c r="O54" s="1" t="n">
        <f aca="false">jaguaribe_80ml!O55/50</f>
        <v>0.12</v>
      </c>
      <c r="P54" s="1" t="n">
        <f aca="false">jaguaribe_80ml!P55/50</f>
        <v>0</v>
      </c>
      <c r="Q54" s="1" t="n">
        <f aca="false">jaguaribe_80ml!Q55/50</f>
        <v>0</v>
      </c>
      <c r="R54" s="1" t="n">
        <f aca="false">jaguaribe_80ml!R55/50</f>
        <v>0</v>
      </c>
      <c r="S54" s="1" t="n">
        <f aca="false">jaguaribe_80ml!S55/50</f>
        <v>0</v>
      </c>
      <c r="T54" s="1" t="n">
        <f aca="false">jaguaribe_80ml!T55/50</f>
        <v>6.12</v>
      </c>
      <c r="U54" s="1" t="n">
        <f aca="false">jaguaribe_80ml!U55/50</f>
        <v>0.18</v>
      </c>
      <c r="V54" s="1" t="n">
        <f aca="false">jaguaribe_80ml!V55/50</f>
        <v>0</v>
      </c>
      <c r="W54" s="1" t="n">
        <f aca="false">jaguaribe_80ml!W55/50</f>
        <v>7.74</v>
      </c>
      <c r="X54" s="1" t="n">
        <f aca="false">jaguaribe_80ml!X55/50</f>
        <v>0</v>
      </c>
      <c r="Y54" s="1" t="n">
        <f aca="false">jaguaribe_80ml!Y55/50</f>
        <v>0</v>
      </c>
      <c r="Z54" s="1" t="n">
        <f aca="false">jaguaribe_80ml!Z55/50</f>
        <v>0</v>
      </c>
      <c r="AA54" s="1" t="n">
        <f aca="false">jaguaribe_80ml!AA55/50</f>
        <v>0.18</v>
      </c>
      <c r="AB54" s="1" t="n">
        <f aca="false">jaguaribe_80ml!AB55/50</f>
        <v>0</v>
      </c>
      <c r="AC54" s="1" t="n">
        <f aca="false">jaguaribe_80ml!AC55/50</f>
        <v>0</v>
      </c>
      <c r="AD54" s="1" t="n">
        <f aca="false">jaguaribe_80ml!AD55/50</f>
        <v>0.02</v>
      </c>
      <c r="AE54" s="1" t="n">
        <f aca="false">jaguaribe_80ml!AE55/50</f>
        <v>0</v>
      </c>
      <c r="AF54" s="1" t="n">
        <f aca="false">jaguaribe_80ml!AF55/50</f>
        <v>0</v>
      </c>
      <c r="AG54" s="1" t="n">
        <f aca="false">jaguaribe_80ml!AG55/50</f>
        <v>0</v>
      </c>
      <c r="AH54" s="1" t="n">
        <f aca="false">jaguaribe_80ml!AH55/50</f>
        <v>0</v>
      </c>
      <c r="AI54" s="1" t="n">
        <f aca="false">jaguaribe_80ml!AI55/50</f>
        <v>0.02</v>
      </c>
      <c r="AJ54" s="1" t="n">
        <f aca="false">jaguaribe_80ml!AJ55/50</f>
        <v>0.02</v>
      </c>
      <c r="AK54" s="1" t="n">
        <f aca="false">jaguaribe_80ml!AK55/50</f>
        <v>0.06</v>
      </c>
      <c r="AL54" s="1" t="n">
        <f aca="false">jaguaribe_80ml!AL55/50</f>
        <v>0</v>
      </c>
      <c r="AM54" s="1" t="n">
        <f aca="false">jaguaribe_80ml!AM55/50</f>
        <v>0</v>
      </c>
      <c r="AN54" s="1" t="n">
        <f aca="false">jaguaribe_80ml!AN55/50</f>
        <v>0</v>
      </c>
      <c r="AO54" s="1" t="n">
        <f aca="false">jaguaribe_80ml!AO55/50</f>
        <v>0</v>
      </c>
      <c r="AP54" s="1" t="n">
        <f aca="false">jaguaribe_80ml!AP55/50</f>
        <v>0</v>
      </c>
      <c r="AQ54" s="1" t="n">
        <f aca="false">jaguaribe_80ml!AQ55/50</f>
        <v>0</v>
      </c>
      <c r="AR54" s="1" t="n">
        <f aca="false">jaguaribe_80ml!AR55/50</f>
        <v>0</v>
      </c>
      <c r="AS54" s="1" t="n">
        <f aca="false">jaguaribe_80ml!AS55/50</f>
        <v>0</v>
      </c>
      <c r="AT54" s="1" t="n">
        <f aca="false">jaguaribe_80ml!AT55/50</f>
        <v>3.88</v>
      </c>
      <c r="AU54" s="1" t="n">
        <f aca="false">jaguaribe_80ml!AU55/50</f>
        <v>0</v>
      </c>
      <c r="AV54" s="1" t="n">
        <f aca="false">jaguaribe_80ml!AV55/50</f>
        <v>0</v>
      </c>
      <c r="AW54" s="1" t="n">
        <f aca="false">jaguaribe_80ml!AW55/50</f>
        <v>0</v>
      </c>
      <c r="AX54" s="1" t="n">
        <f aca="false">jaguaribe_80ml!AX55/50</f>
        <v>0</v>
      </c>
      <c r="AY54" s="1" t="n">
        <f aca="false">jaguaribe_80ml!AY55/50</f>
        <v>0</v>
      </c>
      <c r="AZ54" s="1" t="n">
        <f aca="false">jaguaribe_80ml!AZ55/50</f>
        <v>0</v>
      </c>
      <c r="BA54" s="1" t="n">
        <f aca="false">jaguaribe_80ml!BA55/50</f>
        <v>0</v>
      </c>
      <c r="BB54" s="1" t="n">
        <f aca="false">jaguaribe_80ml!BB55/50</f>
        <v>0.14</v>
      </c>
      <c r="BC54" s="1" t="n">
        <f aca="false">jaguaribe_80ml!BC55/50</f>
        <v>0.06</v>
      </c>
      <c r="BD54" s="1" t="n">
        <f aca="false">jaguaribe_80ml!BD55/50</f>
        <v>0</v>
      </c>
      <c r="BE54" s="1" t="n">
        <f aca="false">jaguaribe_80ml!BE55/50</f>
        <v>0</v>
      </c>
    </row>
    <row r="55" customFormat="false" ht="12.8" hidden="false" customHeight="false" outlineLevel="0" collapsed="false">
      <c r="A55" s="1" t="s">
        <v>73</v>
      </c>
      <c r="B55" s="1" t="n">
        <f aca="false">jaguaribe_80ml!B56/50</f>
        <v>0</v>
      </c>
      <c r="C55" s="1" t="n">
        <f aca="false">jaguaribe_80ml!C56/50</f>
        <v>0</v>
      </c>
      <c r="D55" s="1" t="n">
        <f aca="false">jaguaribe_80ml!D56/50</f>
        <v>6.08</v>
      </c>
      <c r="E55" s="1" t="n">
        <f aca="false">jaguaribe_80ml!E56/50</f>
        <v>0.08</v>
      </c>
      <c r="F55" s="1" t="n">
        <f aca="false">jaguaribe_80ml!F56/50</f>
        <v>3.42</v>
      </c>
      <c r="G55" s="1" t="n">
        <f aca="false">jaguaribe_80ml!G56/50</f>
        <v>0.06</v>
      </c>
      <c r="H55" s="1" t="n">
        <f aca="false">jaguaribe_80ml!H56/50</f>
        <v>0.04</v>
      </c>
      <c r="I55" s="1" t="n">
        <f aca="false">jaguaribe_80ml!I56/50</f>
        <v>0</v>
      </c>
      <c r="J55" s="1" t="n">
        <f aca="false">jaguaribe_80ml!J56/50</f>
        <v>0.02</v>
      </c>
      <c r="K55" s="1" t="n">
        <f aca="false">jaguaribe_80ml!K56/50</f>
        <v>0.06</v>
      </c>
      <c r="L55" s="1" t="n">
        <f aca="false">jaguaribe_80ml!L56/50</f>
        <v>0</v>
      </c>
      <c r="M55" s="1" t="n">
        <f aca="false">jaguaribe_80ml!M56/50</f>
        <v>0.74</v>
      </c>
      <c r="N55" s="1" t="n">
        <f aca="false">jaguaribe_80ml!N56/50</f>
        <v>0</v>
      </c>
      <c r="O55" s="1" t="n">
        <f aca="false">jaguaribe_80ml!O56/50</f>
        <v>0.06</v>
      </c>
      <c r="P55" s="1" t="n">
        <f aca="false">jaguaribe_80ml!P56/50</f>
        <v>0</v>
      </c>
      <c r="Q55" s="1" t="n">
        <f aca="false">jaguaribe_80ml!Q56/50</f>
        <v>0</v>
      </c>
      <c r="R55" s="1" t="n">
        <f aca="false">jaguaribe_80ml!R56/50</f>
        <v>0</v>
      </c>
      <c r="S55" s="1" t="n">
        <f aca="false">jaguaribe_80ml!S56/50</f>
        <v>0</v>
      </c>
      <c r="T55" s="1" t="n">
        <f aca="false">jaguaribe_80ml!T56/50</f>
        <v>6.18</v>
      </c>
      <c r="U55" s="1" t="n">
        <f aca="false">jaguaribe_80ml!U56/50</f>
        <v>0.12</v>
      </c>
      <c r="V55" s="1" t="n">
        <f aca="false">jaguaribe_80ml!V56/50</f>
        <v>0</v>
      </c>
      <c r="W55" s="1" t="n">
        <f aca="false">jaguaribe_80ml!W56/50</f>
        <v>8.66</v>
      </c>
      <c r="X55" s="1" t="n">
        <f aca="false">jaguaribe_80ml!X56/50</f>
        <v>0</v>
      </c>
      <c r="Y55" s="1" t="n">
        <f aca="false">jaguaribe_80ml!Y56/50</f>
        <v>0.02</v>
      </c>
      <c r="Z55" s="1" t="n">
        <f aca="false">jaguaribe_80ml!Z56/50</f>
        <v>0</v>
      </c>
      <c r="AA55" s="1" t="n">
        <f aca="false">jaguaribe_80ml!AA56/50</f>
        <v>0.02</v>
      </c>
      <c r="AB55" s="1" t="n">
        <f aca="false">jaguaribe_80ml!AB56/50</f>
        <v>0</v>
      </c>
      <c r="AC55" s="1" t="n">
        <f aca="false">jaguaribe_80ml!AC56/50</f>
        <v>0</v>
      </c>
      <c r="AD55" s="1" t="n">
        <f aca="false">jaguaribe_80ml!AD56/50</f>
        <v>0</v>
      </c>
      <c r="AE55" s="1" t="n">
        <f aca="false">jaguaribe_80ml!AE56/50</f>
        <v>0</v>
      </c>
      <c r="AF55" s="1" t="n">
        <f aca="false">jaguaribe_80ml!AF56/50</f>
        <v>0</v>
      </c>
      <c r="AG55" s="1" t="n">
        <f aca="false">jaguaribe_80ml!AG56/50</f>
        <v>0</v>
      </c>
      <c r="AH55" s="1" t="n">
        <f aca="false">jaguaribe_80ml!AH56/50</f>
        <v>0</v>
      </c>
      <c r="AI55" s="1" t="n">
        <f aca="false">jaguaribe_80ml!AI56/50</f>
        <v>0</v>
      </c>
      <c r="AJ55" s="1" t="n">
        <f aca="false">jaguaribe_80ml!AJ56/50</f>
        <v>0</v>
      </c>
      <c r="AK55" s="1" t="n">
        <f aca="false">jaguaribe_80ml!AK56/50</f>
        <v>0</v>
      </c>
      <c r="AL55" s="1" t="n">
        <f aca="false">jaguaribe_80ml!AL56/50</f>
        <v>0</v>
      </c>
      <c r="AM55" s="1" t="n">
        <f aca="false">jaguaribe_80ml!AM56/50</f>
        <v>0</v>
      </c>
      <c r="AN55" s="1" t="n">
        <f aca="false">jaguaribe_80ml!AN56/50</f>
        <v>0</v>
      </c>
      <c r="AO55" s="1" t="n">
        <f aca="false">jaguaribe_80ml!AO56/50</f>
        <v>0</v>
      </c>
      <c r="AP55" s="1" t="n">
        <f aca="false">jaguaribe_80ml!AP56/50</f>
        <v>0</v>
      </c>
      <c r="AQ55" s="1" t="n">
        <f aca="false">jaguaribe_80ml!AQ56/50</f>
        <v>0</v>
      </c>
      <c r="AR55" s="1" t="n">
        <f aca="false">jaguaribe_80ml!AR56/50</f>
        <v>0.02</v>
      </c>
      <c r="AS55" s="1" t="n">
        <f aca="false">jaguaribe_80ml!AS56/50</f>
        <v>0</v>
      </c>
      <c r="AT55" s="1" t="n">
        <f aca="false">jaguaribe_80ml!AT56/50</f>
        <v>6.06</v>
      </c>
      <c r="AU55" s="1" t="n">
        <f aca="false">jaguaribe_80ml!AU56/50</f>
        <v>0</v>
      </c>
      <c r="AV55" s="1" t="n">
        <f aca="false">jaguaribe_80ml!AV56/50</f>
        <v>0</v>
      </c>
      <c r="AW55" s="1" t="n">
        <f aca="false">jaguaribe_80ml!AW56/50</f>
        <v>0</v>
      </c>
      <c r="AX55" s="1" t="n">
        <f aca="false">jaguaribe_80ml!AX56/50</f>
        <v>0</v>
      </c>
      <c r="AY55" s="1" t="n">
        <f aca="false">jaguaribe_80ml!AY56/50</f>
        <v>0</v>
      </c>
      <c r="AZ55" s="1" t="n">
        <f aca="false">jaguaribe_80ml!AZ56/50</f>
        <v>0</v>
      </c>
      <c r="BA55" s="1" t="n">
        <f aca="false">jaguaribe_80ml!BA56/50</f>
        <v>0</v>
      </c>
      <c r="BB55" s="1" t="n">
        <f aca="false">jaguaribe_80ml!BB56/50</f>
        <v>0.16</v>
      </c>
      <c r="BC55" s="1" t="n">
        <f aca="false">jaguaribe_80ml!BC56/50</f>
        <v>0</v>
      </c>
      <c r="BD55" s="1" t="n">
        <f aca="false">jaguaribe_80ml!BD56/50</f>
        <v>0</v>
      </c>
      <c r="BE55" s="1" t="n">
        <f aca="false">jaguaribe_80ml!BE56/50</f>
        <v>0</v>
      </c>
    </row>
    <row r="56" customFormat="false" ht="12.8" hidden="false" customHeight="false" outlineLevel="0" collapsed="false">
      <c r="A56" s="1" t="s">
        <v>74</v>
      </c>
    </row>
    <row r="57" customFormat="false" ht="12.8" hidden="false" customHeight="false" outlineLevel="0" collapsed="false">
      <c r="A57" s="1" t="s">
        <v>76</v>
      </c>
    </row>
    <row r="58" customFormat="false" ht="12.8" hidden="false" customHeight="false" outlineLevel="0" collapsed="false">
      <c r="A58" s="1" t="s">
        <v>77</v>
      </c>
    </row>
    <row r="59" customFormat="false" ht="12.8" hidden="false" customHeight="false" outlineLevel="0" collapsed="false">
      <c r="A59" s="1" t="s">
        <v>78</v>
      </c>
    </row>
    <row r="60" customFormat="false" ht="12.8" hidden="false" customHeight="false" outlineLevel="0" collapsed="false">
      <c r="A60" s="1" t="s">
        <v>79</v>
      </c>
    </row>
    <row r="61" customFormat="false" ht="12.8" hidden="false" customHeight="false" outlineLevel="0" collapsed="false">
      <c r="A61" s="1" t="s">
        <v>80</v>
      </c>
    </row>
    <row r="62" customFormat="false" ht="12.8" hidden="false" customHeight="false" outlineLevel="0" collapsed="false">
      <c r="A62" s="1" t="s">
        <v>81</v>
      </c>
    </row>
    <row r="63" customFormat="false" ht="12.8" hidden="false" customHeight="false" outlineLevel="0" collapsed="false">
      <c r="A63" s="1" t="s">
        <v>82</v>
      </c>
    </row>
    <row r="64" customFormat="false" ht="12.8" hidden="false" customHeight="false" outlineLevel="0" collapsed="false">
      <c r="A64" s="1" t="s">
        <v>83</v>
      </c>
    </row>
    <row r="65" customFormat="false" ht="12.8" hidden="false" customHeight="false" outlineLevel="0" collapsed="false">
      <c r="A65" s="1" t="s">
        <v>84</v>
      </c>
    </row>
    <row r="66" customFormat="false" ht="12.8" hidden="false" customHeight="false" outlineLevel="0" collapsed="false">
      <c r="A66" s="1" t="s">
        <v>85</v>
      </c>
    </row>
    <row r="67" customFormat="false" ht="12.8" hidden="false" customHeight="false" outlineLevel="0" collapsed="false">
      <c r="A67" s="1" t="s">
        <v>86</v>
      </c>
    </row>
    <row r="68" customFormat="false" ht="12.8" hidden="false" customHeight="false" outlineLevel="0" collapsed="false">
      <c r="A68" s="1" t="s">
        <v>87</v>
      </c>
    </row>
    <row r="69" customFormat="false" ht="12.8" hidden="false" customHeight="false" outlineLevel="0" collapsed="false">
      <c r="A69" s="1" t="s">
        <v>88</v>
      </c>
    </row>
    <row r="70" customFormat="false" ht="12.8" hidden="false" customHeight="false" outlineLevel="0" collapsed="false">
      <c r="A70" s="1" t="s">
        <v>89</v>
      </c>
    </row>
    <row r="71" customFormat="false" ht="12.8" hidden="false" customHeight="false" outlineLevel="0" collapsed="false">
      <c r="A71" s="1" t="s">
        <v>90</v>
      </c>
    </row>
    <row r="72" customFormat="false" ht="12.8" hidden="false" customHeight="false" outlineLevel="0" collapsed="false">
      <c r="A72" s="1" t="s">
        <v>91</v>
      </c>
    </row>
    <row r="73" customFormat="false" ht="12.8" hidden="false" customHeight="false" outlineLevel="0" collapsed="false">
      <c r="A73" s="1" t="s">
        <v>92</v>
      </c>
    </row>
    <row r="74" customFormat="false" ht="12.8" hidden="false" customHeight="false" outlineLevel="0" collapsed="false">
      <c r="A74" s="1" t="s">
        <v>93</v>
      </c>
    </row>
    <row r="75" customFormat="false" ht="12.8" hidden="false" customHeight="false" outlineLevel="0" collapsed="false">
      <c r="A75" s="1" t="s">
        <v>94</v>
      </c>
    </row>
    <row r="76" customFormat="false" ht="12.8" hidden="false" customHeight="false" outlineLevel="0" collapsed="false">
      <c r="A76" s="1" t="s">
        <v>95</v>
      </c>
    </row>
    <row r="77" customFormat="false" ht="12.8" hidden="false" customHeight="false" outlineLevel="0" collapsed="false">
      <c r="A77" s="1" t="s">
        <v>96</v>
      </c>
    </row>
    <row r="78" customFormat="false" ht="12.8" hidden="false" customHeight="false" outlineLevel="0" collapsed="false">
      <c r="A78" s="1" t="s">
        <v>97</v>
      </c>
    </row>
    <row r="79" customFormat="false" ht="12.8" hidden="false" customHeight="false" outlineLevel="0" collapsed="false">
      <c r="A79" s="1" t="s">
        <v>98</v>
      </c>
    </row>
    <row r="80" customFormat="false" ht="12.8" hidden="false" customHeight="false" outlineLevel="0" collapsed="false">
      <c r="A80" s="1" t="s">
        <v>99</v>
      </c>
    </row>
    <row r="81" customFormat="false" ht="12.8" hidden="false" customHeight="false" outlineLevel="0" collapsed="false">
      <c r="A81" s="1" t="s">
        <v>100</v>
      </c>
    </row>
    <row r="82" customFormat="false" ht="12.8" hidden="false" customHeight="false" outlineLevel="0" collapsed="false">
      <c r="A82" s="1" t="s">
        <v>101</v>
      </c>
    </row>
    <row r="83" customFormat="false" ht="12.8" hidden="false" customHeight="false" outlineLevel="0" collapsed="false">
      <c r="A83" s="1" t="s">
        <v>102</v>
      </c>
    </row>
    <row r="84" customFormat="false" ht="12.8" hidden="false" customHeight="false" outlineLevel="0" collapsed="false">
      <c r="A84" s="1" t="s">
        <v>103</v>
      </c>
    </row>
    <row r="85" customFormat="false" ht="12.8" hidden="false" customHeight="false" outlineLevel="0" collapsed="false">
      <c r="A85" s="1" t="s">
        <v>104</v>
      </c>
    </row>
    <row r="86" customFormat="false" ht="12.8" hidden="false" customHeight="false" outlineLevel="0" collapsed="false">
      <c r="A86" s="1" t="s">
        <v>105</v>
      </c>
    </row>
    <row r="87" customFormat="false" ht="12.8" hidden="false" customHeight="false" outlineLevel="0" collapsed="false">
      <c r="A87" s="1" t="s">
        <v>106</v>
      </c>
    </row>
    <row r="88" customFormat="false" ht="12.8" hidden="false" customHeight="false" outlineLevel="0" collapsed="false">
      <c r="A88" s="1" t="s">
        <v>107</v>
      </c>
    </row>
    <row r="89" customFormat="false" ht="12.8" hidden="false" customHeight="false" outlineLevel="0" collapsed="false">
      <c r="A89" s="1" t="s">
        <v>108</v>
      </c>
    </row>
    <row r="90" customFormat="false" ht="12.8" hidden="false" customHeight="false" outlineLevel="0" collapsed="false">
      <c r="A90" s="1" t="s">
        <v>109</v>
      </c>
    </row>
    <row r="91" customFormat="false" ht="12.8" hidden="false" customHeight="false" outlineLevel="0" collapsed="false">
      <c r="A91" s="1" t="s">
        <v>110</v>
      </c>
    </row>
    <row r="92" customFormat="false" ht="12.8" hidden="false" customHeight="false" outlineLevel="0" collapsed="false">
      <c r="A92" s="1" t="s">
        <v>111</v>
      </c>
    </row>
    <row r="93" customFormat="false" ht="12.8" hidden="false" customHeight="false" outlineLevel="0" collapsed="false">
      <c r="A93" s="1" t="s">
        <v>112</v>
      </c>
    </row>
    <row r="94" customFormat="false" ht="12.8" hidden="false" customHeight="false" outlineLevel="0" collapsed="false">
      <c r="A94" s="1" t="s">
        <v>113</v>
      </c>
    </row>
    <row r="95" customFormat="false" ht="12.8" hidden="false" customHeight="false" outlineLevel="0" collapsed="false">
      <c r="A95" s="1" t="s">
        <v>114</v>
      </c>
    </row>
    <row r="96" customFormat="false" ht="12.8" hidden="false" customHeight="false" outlineLevel="0" collapsed="false">
      <c r="A96" s="1" t="s">
        <v>115</v>
      </c>
    </row>
    <row r="97" customFormat="false" ht="12.8" hidden="false" customHeight="false" outlineLevel="0" collapsed="false">
      <c r="A97" s="1" t="s">
        <v>116</v>
      </c>
    </row>
    <row r="98" customFormat="false" ht="12.8" hidden="false" customHeight="false" outlineLevel="0" collapsed="false">
      <c r="A98" s="1" t="s">
        <v>117</v>
      </c>
    </row>
    <row r="99" customFormat="false" ht="12.8" hidden="false" customHeight="false" outlineLevel="0" collapsed="false">
      <c r="A99" s="1" t="s">
        <v>118</v>
      </c>
    </row>
    <row r="100" customFormat="false" ht="12.8" hidden="false" customHeight="false" outlineLevel="0" collapsed="false">
      <c r="A100" s="1" t="s">
        <v>119</v>
      </c>
    </row>
    <row r="101" customFormat="false" ht="12.8" hidden="false" customHeight="false" outlineLevel="0" collapsed="false">
      <c r="A101" s="1" t="s">
        <v>120</v>
      </c>
    </row>
    <row r="102" customFormat="false" ht="12.8" hidden="false" customHeight="false" outlineLevel="0" collapsed="false">
      <c r="A102" s="1" t="s">
        <v>121</v>
      </c>
    </row>
    <row r="103" customFormat="false" ht="12.8" hidden="false" customHeight="false" outlineLevel="0" collapsed="false">
      <c r="A103" s="1" t="s">
        <v>122</v>
      </c>
    </row>
    <row r="104" customFormat="false" ht="12.8" hidden="false" customHeight="false" outlineLevel="0" collapsed="false">
      <c r="A104" s="1" t="s">
        <v>123</v>
      </c>
    </row>
    <row r="105" customFormat="false" ht="12.8" hidden="false" customHeight="false" outlineLevel="0" collapsed="false">
      <c r="A105" s="1" t="s">
        <v>124</v>
      </c>
    </row>
    <row r="106" customFormat="false" ht="12.8" hidden="false" customHeight="false" outlineLevel="0" collapsed="false">
      <c r="A106" s="1" t="s">
        <v>125</v>
      </c>
    </row>
    <row r="107" customFormat="false" ht="12.8" hidden="false" customHeight="false" outlineLevel="0" collapsed="false">
      <c r="A107" s="1" t="s">
        <v>126</v>
      </c>
    </row>
    <row r="108" customFormat="false" ht="12.8" hidden="false" customHeight="false" outlineLevel="0" collapsed="false">
      <c r="A108" s="1" t="s">
        <v>127</v>
      </c>
    </row>
    <row r="109" customFormat="false" ht="12.8" hidden="false" customHeight="false" outlineLevel="0" collapsed="false">
      <c r="A109" s="1" t="s">
        <v>128</v>
      </c>
    </row>
    <row r="110" customFormat="false" ht="12.8" hidden="false" customHeight="false" outlineLevel="0" collapsed="false">
      <c r="A110" s="1" t="s">
        <v>129</v>
      </c>
    </row>
    <row r="111" customFormat="false" ht="12.8" hidden="false" customHeight="false" outlineLevel="0" collapsed="false">
      <c r="A111" s="1" t="s">
        <v>130</v>
      </c>
    </row>
    <row r="112" customFormat="false" ht="12.8" hidden="false" customHeight="false" outlineLevel="0" collapsed="false">
      <c r="A112" s="1" t="s">
        <v>131</v>
      </c>
    </row>
    <row r="113" customFormat="false" ht="12.8" hidden="false" customHeight="false" outlineLevel="0" collapsed="false">
      <c r="A113" s="1" t="s">
        <v>132</v>
      </c>
    </row>
    <row r="114" customFormat="false" ht="12.8" hidden="false" customHeight="false" outlineLevel="0" collapsed="false">
      <c r="A114" s="1" t="s">
        <v>133</v>
      </c>
    </row>
    <row r="115" customFormat="false" ht="12.8" hidden="false" customHeight="false" outlineLevel="0" collapsed="false">
      <c r="A115" s="1" t="s">
        <v>134</v>
      </c>
    </row>
    <row r="116" customFormat="false" ht="12.8" hidden="false" customHeight="false" outlineLevel="0" collapsed="false">
      <c r="A116" s="1" t="s">
        <v>135</v>
      </c>
    </row>
    <row r="117" customFormat="false" ht="12.8" hidden="false" customHeight="false" outlineLevel="0" collapsed="false">
      <c r="A117" s="1" t="s">
        <v>136</v>
      </c>
    </row>
    <row r="118" customFormat="false" ht="12.8" hidden="false" customHeight="false" outlineLevel="0" collapsed="false">
      <c r="A118" s="1" t="s">
        <v>137</v>
      </c>
    </row>
    <row r="119" customFormat="false" ht="12.8" hidden="false" customHeight="false" outlineLevel="0" collapsed="false">
      <c r="A119" s="1" t="s">
        <v>138</v>
      </c>
    </row>
    <row r="120" customFormat="false" ht="12.8" hidden="false" customHeight="false" outlineLevel="0" collapsed="false">
      <c r="A120" s="1" t="s">
        <v>139</v>
      </c>
    </row>
    <row r="121" customFormat="false" ht="12.8" hidden="false" customHeight="false" outlineLevel="0" collapsed="false">
      <c r="A121" s="1" t="s">
        <v>140</v>
      </c>
    </row>
    <row r="122" customFormat="false" ht="12.8" hidden="false" customHeight="false" outlineLevel="0" collapsed="false">
      <c r="A122" s="1" t="s">
        <v>141</v>
      </c>
    </row>
    <row r="123" customFormat="false" ht="12.8" hidden="false" customHeight="false" outlineLevel="0" collapsed="false">
      <c r="A123" s="1" t="s">
        <v>142</v>
      </c>
    </row>
    <row r="124" customFormat="false" ht="12.8" hidden="false" customHeight="false" outlineLevel="0" collapsed="false">
      <c r="A124" s="1" t="s">
        <v>143</v>
      </c>
    </row>
    <row r="125" customFormat="false" ht="12.8" hidden="false" customHeight="false" outlineLevel="0" collapsed="false">
      <c r="A125" s="1" t="s">
        <v>144</v>
      </c>
    </row>
    <row r="126" customFormat="false" ht="12.8" hidden="false" customHeight="false" outlineLevel="0" collapsed="false">
      <c r="A126" s="1" t="s">
        <v>145</v>
      </c>
    </row>
    <row r="127" customFormat="false" ht="12.8" hidden="false" customHeight="false" outlineLevel="0" collapsed="false">
      <c r="A127" s="1" t="s">
        <v>146</v>
      </c>
    </row>
    <row r="128" customFormat="false" ht="12.8" hidden="false" customHeight="false" outlineLevel="0" collapsed="false">
      <c r="A128" s="1" t="s">
        <v>147</v>
      </c>
    </row>
    <row r="129" customFormat="false" ht="12.8" hidden="false" customHeight="false" outlineLevel="0" collapsed="false">
      <c r="A129" s="1" t="s">
        <v>148</v>
      </c>
    </row>
    <row r="130" customFormat="false" ht="12.8" hidden="false" customHeight="false" outlineLevel="0" collapsed="false">
      <c r="A130" s="1" t="s">
        <v>149</v>
      </c>
    </row>
    <row r="131" customFormat="false" ht="12.8" hidden="false" customHeight="false" outlineLevel="0" collapsed="false">
      <c r="A131" s="1" t="s">
        <v>150</v>
      </c>
    </row>
    <row r="132" customFormat="false" ht="12.8" hidden="false" customHeight="false" outlineLevel="0" collapsed="false">
      <c r="A132" s="1" t="s">
        <v>151</v>
      </c>
    </row>
    <row r="133" customFormat="false" ht="12.8" hidden="false" customHeight="false" outlineLevel="0" collapsed="false">
      <c r="A133" s="1" t="s">
        <v>152</v>
      </c>
    </row>
    <row r="134" customFormat="false" ht="12.8" hidden="false" customHeight="false" outlineLevel="0" collapsed="false">
      <c r="A134" s="1" t="s">
        <v>153</v>
      </c>
    </row>
    <row r="135" customFormat="false" ht="12.8" hidden="false" customHeight="false" outlineLevel="0" collapsed="false">
      <c r="A135" s="1" t="s">
        <v>154</v>
      </c>
    </row>
    <row r="136" customFormat="false" ht="12.8" hidden="false" customHeight="false" outlineLevel="0" collapsed="false">
      <c r="A136" s="1" t="s">
        <v>155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9.92"/>
    <col collapsed="false" customWidth="true" hidden="false" outlineLevel="0" max="3" min="3" style="1" width="8.76"/>
    <col collapsed="false" customWidth="true" hidden="false" outlineLevel="0" max="4" min="4" style="1" width="8.3"/>
    <col collapsed="false" customWidth="true" hidden="false" outlineLevel="0" max="5" min="5" style="1" width="10.14"/>
    <col collapsed="false" customWidth="true" hidden="false" outlineLevel="0" max="6" min="6" style="1" width="11.74"/>
    <col collapsed="false" customWidth="true" hidden="false" outlineLevel="0" max="7" min="7" style="1" width="10.26"/>
    <col collapsed="false" customWidth="true" hidden="false" outlineLevel="0" max="8" min="8" style="1" width="9.46"/>
    <col collapsed="false" customWidth="true" hidden="false" outlineLevel="0" max="9" min="9" style="1" width="7.88"/>
    <col collapsed="false" customWidth="true" hidden="false" outlineLevel="0" max="10" min="10" style="1" width="13.91"/>
    <col collapsed="false" customWidth="true" hidden="false" outlineLevel="0" max="11" min="11" style="1" width="11.97"/>
    <col collapsed="false" customWidth="true" hidden="false" outlineLevel="0" max="12" min="12" style="1" width="12.42"/>
    <col collapsed="false" customWidth="true" hidden="false" outlineLevel="0" max="13" min="13" style="1" width="8.89"/>
    <col collapsed="false" customWidth="true" hidden="false" outlineLevel="0" max="14" min="14" style="1" width="15.05"/>
    <col collapsed="false" customWidth="true" hidden="false" outlineLevel="0" max="15" min="15" style="1" width="7.63"/>
    <col collapsed="false" customWidth="true" hidden="false" outlineLevel="0" max="16" min="16" style="1" width="13"/>
    <col collapsed="false" customWidth="true" hidden="false" outlineLevel="0" max="17" min="17" style="1" width="9.34"/>
    <col collapsed="false" customWidth="true" hidden="false" outlineLevel="0" max="18" min="18" style="1" width="10.14"/>
    <col collapsed="false" customWidth="false" hidden="false" outlineLevel="0" max="19" min="19" style="1" width="11.51"/>
    <col collapsed="false" customWidth="true" hidden="false" outlineLevel="0" max="20" min="20" style="1" width="10.26"/>
    <col collapsed="false" customWidth="true" hidden="false" outlineLevel="0" max="21" min="21" style="1" width="9.46"/>
    <col collapsed="false" customWidth="true" hidden="false" outlineLevel="0" max="22" min="22" style="1" width="10.14"/>
    <col collapsed="false" customWidth="true" hidden="false" outlineLevel="0" max="23" min="23" style="1" width="11.39"/>
    <col collapsed="false" customWidth="true" hidden="false" outlineLevel="0" max="24" min="24" style="1" width="11.05"/>
    <col collapsed="false" customWidth="true" hidden="false" outlineLevel="0" max="25" min="25" style="1" width="10.95"/>
    <col collapsed="false" customWidth="true" hidden="false" outlineLevel="0" max="26" min="26" style="1" width="7.29"/>
    <col collapsed="false" customWidth="true" hidden="false" outlineLevel="0" max="27" min="27" style="1" width="8.66"/>
    <col collapsed="false" customWidth="true" hidden="false" outlineLevel="0" max="28" min="28" style="1" width="10.49"/>
    <col collapsed="false" customWidth="true" hidden="false" outlineLevel="0" max="29" min="29" style="1" width="9.92"/>
    <col collapsed="false" customWidth="true" hidden="false" outlineLevel="0" max="30" min="30" style="1" width="7.42"/>
    <col collapsed="false" customWidth="true" hidden="false" outlineLevel="0" max="31" min="31" style="1" width="9.23"/>
    <col collapsed="false" customWidth="false" hidden="false" outlineLevel="0" max="32" min="32" style="1" width="11.51"/>
    <col collapsed="false" customWidth="true" hidden="false" outlineLevel="0" max="33" min="33" style="1" width="8.89"/>
    <col collapsed="false" customWidth="true" hidden="false" outlineLevel="0" max="34" min="34" style="1" width="9.46"/>
    <col collapsed="false" customWidth="true" hidden="false" outlineLevel="0" max="35" min="35" style="1" width="7.06"/>
    <col collapsed="false" customWidth="true" hidden="false" outlineLevel="0" max="36" min="36" style="1" width="8.66"/>
    <col collapsed="false" customWidth="true" hidden="false" outlineLevel="0" max="37" min="37" style="1" width="9.92"/>
    <col collapsed="false" customWidth="true" hidden="false" outlineLevel="0" max="38" min="38" style="1" width="13.22"/>
    <col collapsed="false" customWidth="true" hidden="false" outlineLevel="0" max="39" min="39" style="1" width="8.21"/>
    <col collapsed="false" customWidth="true" hidden="false" outlineLevel="0" max="40" min="40" style="1" width="8.66"/>
    <col collapsed="false" customWidth="true" hidden="false" outlineLevel="0" max="41" min="41" style="1" width="11.63"/>
    <col collapsed="false" customWidth="true" hidden="false" outlineLevel="0" max="42" min="42" style="1" width="8.43"/>
    <col collapsed="false" customWidth="true" hidden="false" outlineLevel="0" max="43" min="43" style="1" width="9.58"/>
    <col collapsed="false" customWidth="true" hidden="false" outlineLevel="0" max="44" min="44" style="1" width="10.71"/>
    <col collapsed="false" customWidth="true" hidden="false" outlineLevel="0" max="45" min="45" style="1" width="12.3"/>
    <col collapsed="false" customWidth="true" hidden="false" outlineLevel="0" max="46" min="46" style="1" width="5.92"/>
    <col collapsed="false" customWidth="true" hidden="false" outlineLevel="0" max="47" min="47" style="1" width="13.46"/>
    <col collapsed="false" customWidth="true" hidden="false" outlineLevel="0" max="48" min="48" style="1" width="8.55"/>
    <col collapsed="false" customWidth="true" hidden="false" outlineLevel="0" max="49" min="49" style="1" width="12.08"/>
    <col collapsed="false" customWidth="true" hidden="false" outlineLevel="0" max="50" min="50" style="1" width="8.89"/>
    <col collapsed="false" customWidth="true" hidden="false" outlineLevel="0" max="51" min="51" style="1" width="13.46"/>
    <col collapsed="false" customWidth="true" hidden="false" outlineLevel="0" max="52" min="52" style="1" width="8.3"/>
    <col collapsed="false" customWidth="true" hidden="false" outlineLevel="0" max="53" min="53" style="1" width="12.08"/>
    <col collapsed="false" customWidth="true" hidden="false" outlineLevel="0" max="54" min="54" style="1" width="9.23"/>
    <col collapsed="false" customWidth="true" hidden="false" outlineLevel="0" max="55" min="55" style="1" width="8.43"/>
    <col collapsed="false" customWidth="true" hidden="false" outlineLevel="0" max="56" min="56" style="1" width="11.29"/>
    <col collapsed="false" customWidth="true" hidden="false" outlineLevel="0" max="57" min="57" style="1" width="9"/>
    <col collapsed="false" customWidth="false" hidden="false" outlineLevel="0" max="16384" min="58" style="1" width="11.53"/>
  </cols>
  <sheetData>
    <row r="1" customFormat="false" ht="12.8" hidden="false" customHeight="false" outlineLevel="0" collapsed="false">
      <c r="B1" s="1" t="str">
        <f aca="false">jaguaribe_80ml!B2</f>
        <v>Alo.isabellae</v>
      </c>
      <c r="C1" s="1" t="str">
        <f aca="false">jaguaribe_80ml!C2</f>
        <v>Bia.ossiani</v>
      </c>
      <c r="D1" s="1" t="str">
        <f aca="false">jaguaribe_80ml!D2</f>
        <v>Bdelloidea</v>
      </c>
      <c r="E1" s="1" t="str">
        <f aca="false">jaguaribe_80ml!E2</f>
        <v>Bra.angularis</v>
      </c>
      <c r="F1" s="1" t="str">
        <f aca="false">jaguaribe_80ml!F2</f>
        <v>Bra.calyciflorus</v>
      </c>
      <c r="G1" s="1" t="str">
        <f aca="false">jaguaribe_80ml!G2</f>
        <v>Bra.caudatus</v>
      </c>
      <c r="H1" s="1" t="str">
        <f aca="false">jaguaribe_80ml!H2</f>
        <v>Bra.falcatus</v>
      </c>
      <c r="I1" s="1" t="str">
        <f aca="false">jaguaribe_80ml!I2</f>
        <v>Bra. Havanaensis</v>
      </c>
      <c r="J1" s="1" t="str">
        <f aca="false">jaguaribe_80ml!J2</f>
        <v>Bra.quadridentatus</v>
      </c>
      <c r="K1" s="1" t="str">
        <f aca="false">jaguaribe_80ml!K2</f>
        <v>Cephalodella.sp</v>
      </c>
      <c r="L1" s="1" t="str">
        <f aca="false">jaguaribe_80ml!L2</f>
        <v>Ceriodaphinia.sp</v>
      </c>
      <c r="M1" s="1" t="str">
        <f aca="false">jaguaribe_80ml!M2</f>
        <v>Copepodite</v>
      </c>
      <c r="N1" s="1" t="str">
        <f aca="false">jaguaribe_80ml!N2</f>
        <v>Cor.serratalhadensis</v>
      </c>
      <c r="O1" s="1" t="str">
        <f aca="false">jaguaribe_80ml!O2</f>
        <v>Dia.birgei</v>
      </c>
      <c r="P1" s="1" t="str">
        <f aca="false">jaguaribe_80ml!P2</f>
        <v>Dicranophorus.sp</v>
      </c>
      <c r="Q1" s="1" t="str">
        <f aca="false">jaguaribe_80ml!Q2</f>
        <v>Eph.barroisi</v>
      </c>
      <c r="R1" s="1" t="str">
        <f aca="false">jaguaribe_80ml!R2</f>
        <v>Eph.hybridus</v>
      </c>
      <c r="S1" s="1" t="str">
        <f aca="false">jaguaribe_80ml!S2</f>
        <v>Eph.tridentatus</v>
      </c>
      <c r="T1" s="1" t="str">
        <f aca="false">jaguaribe_80ml!T2</f>
        <v>Epi.macroura</v>
      </c>
      <c r="U1" s="1" t="str">
        <f aca="false">jaguaribe_80ml!U2</f>
        <v>Fil.longiseta</v>
      </c>
      <c r="V1" s="1" t="str">
        <f aca="false">jaguaribe_80ml!V2</f>
        <v>Fil.opoliensis</v>
      </c>
      <c r="W1" s="1" t="str">
        <f aca="false">jaguaribe_80ml!W2</f>
        <v>Hex.intermedia</v>
      </c>
      <c r="X1" s="1" t="str">
        <f aca="false">jaguaribe_80ml!X2</f>
        <v>Ker.americana</v>
      </c>
      <c r="Y1" s="1" t="str">
        <f aca="false">jaguaribe_80ml!Y2</f>
        <v>Ker.cochlearis</v>
      </c>
      <c r="Z1" s="1" t="str">
        <f aca="false">jaguaribe_80ml!Z2</f>
        <v>Ker.lenzi</v>
      </c>
      <c r="AA1" s="1" t="str">
        <f aca="false">jaguaribe_80ml!AA2</f>
        <v>Ker.tropica</v>
      </c>
      <c r="AB1" s="1" t="str">
        <f aca="false">jaguaribe_80ml!AB2</f>
        <v>Kur.polyspina</v>
      </c>
      <c r="AC1" s="1" t="str">
        <f aca="false">jaguaribe_80ml!AC2</f>
        <v>Lec.aculeata</v>
      </c>
      <c r="AD1" s="1" t="str">
        <f aca="false">jaguaribe_80ml!AD2</f>
        <v>Lec.bulla</v>
      </c>
      <c r="AE1" s="1" t="str">
        <f aca="false">jaguaribe_80ml!AE2</f>
        <v>Lec.cornuta</v>
      </c>
      <c r="AF1" s="1" t="str">
        <f aca="false">jaguaribe_80ml!AF2</f>
        <v>Lec.curvicornis</v>
      </c>
      <c r="AG1" s="1" t="str">
        <f aca="false">jaguaribe_80ml!AG2</f>
        <v>Lec.furcata</v>
      </c>
      <c r="AH1" s="1" t="str">
        <f aca="false">jaguaribe_80ml!AH2</f>
        <v>Lec.leontina</v>
      </c>
      <c r="AI1" s="1" t="str">
        <f aca="false">jaguaribe_80ml!AI2</f>
        <v>Lec.luna</v>
      </c>
      <c r="AJ1" s="1" t="str">
        <f aca="false">jaguaribe_80ml!AJ2</f>
        <v>Lec.lunaris</v>
      </c>
      <c r="AK1" s="1" t="str">
        <f aca="false">jaguaribe_80ml!AK2</f>
        <v>Lec.papuana</v>
      </c>
      <c r="AL1" s="1" t="str">
        <f aca="false">jaguaribe_80ml!AL2</f>
        <v>Lec.quadridentata</v>
      </c>
      <c r="AM1" s="1" t="str">
        <f aca="false">jaguaribe_80ml!AM2</f>
        <v>Lep.ovalis</v>
      </c>
      <c r="AN1" s="1" t="str">
        <f aca="false">jaguaribe_80ml!AN2</f>
        <v>Lep.patella</v>
      </c>
      <c r="AO1" s="1" t="str">
        <f aca="false">jaguaribe_80ml!AO2</f>
        <v>Ley.curvirostris</v>
      </c>
      <c r="AP1" s="1" t="str">
        <f aca="false">jaguaribe_80ml!AP2</f>
        <v>Ley.striata</v>
      </c>
      <c r="AQ1" s="1" t="str">
        <f aca="false">jaguaribe_80ml!AQ2</f>
        <v>Mac.sericus</v>
      </c>
      <c r="AR1" s="1" t="str">
        <f aca="false">jaguaribe_80ml!AR2</f>
        <v>Mac.laticornis</v>
      </c>
      <c r="AS1" s="1" t="str">
        <f aca="false">jaguaribe_80ml!AS2</f>
        <v>The.decipiens</v>
      </c>
      <c r="AT1" s="1" t="str">
        <f aca="false">jaguaribe_80ml!AT2</f>
        <v>Nauplii</v>
      </c>
      <c r="AU1" s="1" t="str">
        <f aca="false">jaguaribe_80ml!AU2</f>
        <v>Notodiaptomus.sp</v>
      </c>
      <c r="AV1" s="1" t="str">
        <f aca="false">jaguaribe_80ml!AV2</f>
        <v>Oxy.ciliata</v>
      </c>
      <c r="AW1" s="1" t="str">
        <f aca="false">jaguaribe_80ml!AW2</f>
        <v>Oxy.longicaudis</v>
      </c>
      <c r="AX1" s="1" t="str">
        <f aca="false">jaguaribe_80ml!AX2</f>
        <v>Pla.patulus</v>
      </c>
      <c r="AY1" s="1" t="str">
        <f aca="false">jaguaribe_80ml!AY2</f>
        <v>Pla.macracanthus</v>
      </c>
      <c r="AZ1" s="1" t="str">
        <f aca="false">jaguaribe_80ml!AZ2</f>
        <v>Pla.leloupi</v>
      </c>
      <c r="BA1" s="1" t="str">
        <f aca="false">jaguaribe_80ml!BA2</f>
        <v>Pla.quadricornis</v>
      </c>
      <c r="BB1" s="1" t="str">
        <f aca="false">jaguaribe_80ml!BB2</f>
        <v>Pol.vulgaris</v>
      </c>
      <c r="BC1" s="1" t="str">
        <f aca="false">jaguaribe_80ml!BC2</f>
        <v>Tes.patina</v>
      </c>
      <c r="BD1" s="1" t="str">
        <f aca="false">jaguaribe_80ml!BD2</f>
        <v>Trichocerca.sp</v>
      </c>
      <c r="BE1" s="1" t="str">
        <f aca="false">jaguaribe_80ml!BE2</f>
        <v>Tri.tetractis</v>
      </c>
    </row>
    <row r="2" customFormat="false" ht="12.8" hidden="false" customHeight="false" outlineLevel="0" collapsed="false">
      <c r="A2" s="1" t="s">
        <v>266</v>
      </c>
      <c r="B2" s="1" t="n">
        <f aca="false">AVERAGE(densidade_hab_indL!B2)</f>
        <v>0</v>
      </c>
      <c r="C2" s="1" t="n">
        <f aca="false">AVERAGE(densidade_hab_indL!C2)</f>
        <v>0</v>
      </c>
      <c r="D2" s="1" t="n">
        <f aca="false">AVERAGE(densidade_hab_indL!D2)</f>
        <v>0.78</v>
      </c>
      <c r="E2" s="1" t="n">
        <f aca="false">AVERAGE(densidade_hab_indL!E2)</f>
        <v>0</v>
      </c>
      <c r="F2" s="1" t="n">
        <f aca="false">AVERAGE(densidade_hab_indL!F2)</f>
        <v>0</v>
      </c>
      <c r="G2" s="1" t="n">
        <f aca="false">AVERAGE(densidade_hab_indL!G2)</f>
        <v>0</v>
      </c>
      <c r="H2" s="1" t="n">
        <f aca="false">AVERAGE(densidade_hab_indL!H2)</f>
        <v>0</v>
      </c>
      <c r="I2" s="1" t="n">
        <f aca="false">AVERAGE(densidade_hab_indL!I2)</f>
        <v>0</v>
      </c>
      <c r="J2" s="1" t="n">
        <f aca="false">AVERAGE(densidade_hab_indL!J2)</f>
        <v>0</v>
      </c>
      <c r="K2" s="1" t="n">
        <f aca="false">AVERAGE(densidade_hab_indL!K2)</f>
        <v>0.44</v>
      </c>
      <c r="L2" s="1" t="n">
        <f aca="false">AVERAGE(densidade_hab_indL!L2)</f>
        <v>0</v>
      </c>
      <c r="M2" s="1" t="n">
        <f aca="false">AVERAGE(densidade_hab_indL!M2)</f>
        <v>3.8</v>
      </c>
      <c r="N2" s="1" t="n">
        <f aca="false">AVERAGE(densidade_hab_indL!N2)</f>
        <v>0</v>
      </c>
      <c r="O2" s="1" t="n">
        <f aca="false">AVERAGE(densidade_hab_indL!O2)</f>
        <v>0</v>
      </c>
      <c r="P2" s="1" t="n">
        <f aca="false">AVERAGE(densidade_hab_indL!P2)</f>
        <v>0</v>
      </c>
      <c r="Q2" s="1" t="n">
        <f aca="false">AVERAGE(densidade_hab_indL!Q2)</f>
        <v>0</v>
      </c>
      <c r="R2" s="1" t="n">
        <f aca="false">AVERAGE(densidade_hab_indL!R2)</f>
        <v>0</v>
      </c>
      <c r="S2" s="1" t="n">
        <f aca="false">AVERAGE(densidade_hab_indL!S2)</f>
        <v>0</v>
      </c>
      <c r="T2" s="1" t="n">
        <f aca="false">AVERAGE(densidade_hab_indL!T2)</f>
        <v>2.46</v>
      </c>
      <c r="U2" s="1" t="n">
        <f aca="false">AVERAGE(densidade_hab_indL!U2)</f>
        <v>0.02</v>
      </c>
      <c r="V2" s="1" t="n">
        <f aca="false">AVERAGE(densidade_hab_indL!V2)</f>
        <v>0.1</v>
      </c>
      <c r="W2" s="1" t="n">
        <f aca="false">AVERAGE(densidade_hab_indL!W2)</f>
        <v>0.02</v>
      </c>
      <c r="X2" s="1" t="n">
        <f aca="false">AVERAGE(densidade_hab_indL!X2)</f>
        <v>1.12</v>
      </c>
      <c r="Y2" s="1" t="n">
        <f aca="false">AVERAGE(densidade_hab_indL!Y2)</f>
        <v>0.04</v>
      </c>
      <c r="Z2" s="1" t="n">
        <f aca="false">AVERAGE(densidade_hab_indL!Z2)</f>
        <v>0</v>
      </c>
      <c r="AA2" s="1" t="n">
        <f aca="false">AVERAGE(densidade_hab_indL!AA2)</f>
        <v>2.84</v>
      </c>
      <c r="AB2" s="1" t="n">
        <f aca="false">AVERAGE(densidade_hab_indL!AB2)</f>
        <v>0</v>
      </c>
      <c r="AC2" s="1" t="n">
        <f aca="false">AVERAGE(densidade_hab_indL!AC2)</f>
        <v>0</v>
      </c>
      <c r="AD2" s="1" t="n">
        <f aca="false">AVERAGE(densidade_hab_indL!AD2)</f>
        <v>0.04</v>
      </c>
      <c r="AE2" s="1" t="n">
        <f aca="false">AVERAGE(densidade_hab_indL!AE2)</f>
        <v>0</v>
      </c>
      <c r="AF2" s="1" t="n">
        <f aca="false">AVERAGE(densidade_hab_indL!AF2)</f>
        <v>0</v>
      </c>
      <c r="AG2" s="1" t="n">
        <f aca="false">AVERAGE(densidade_hab_indL!AG2)</f>
        <v>0</v>
      </c>
      <c r="AH2" s="1" t="n">
        <f aca="false">AVERAGE(densidade_hab_indL!AH2)</f>
        <v>0</v>
      </c>
      <c r="AI2" s="1" t="n">
        <f aca="false">AVERAGE(densidade_hab_indL!AI2)</f>
        <v>0</v>
      </c>
      <c r="AJ2" s="1" t="n">
        <f aca="false">AVERAGE(densidade_hab_indL!AJ2)</f>
        <v>0</v>
      </c>
      <c r="AK2" s="1" t="n">
        <f aca="false">AVERAGE(densidade_hab_indL!AK2)</f>
        <v>0</v>
      </c>
      <c r="AL2" s="1" t="n">
        <f aca="false">AVERAGE(densidade_hab_indL!AL2)</f>
        <v>0</v>
      </c>
      <c r="AM2" s="1" t="n">
        <f aca="false">AVERAGE(densidade_hab_indL!AM2)</f>
        <v>0</v>
      </c>
      <c r="AN2" s="1" t="n">
        <f aca="false">AVERAGE(densidade_hab_indL!AN2)</f>
        <v>0</v>
      </c>
      <c r="AO2" s="1" t="n">
        <f aca="false">AVERAGE(densidade_hab_indL!AO2)</f>
        <v>0</v>
      </c>
      <c r="AP2" s="1" t="n">
        <f aca="false">AVERAGE(densidade_hab_indL!AP2)</f>
        <v>0</v>
      </c>
      <c r="AQ2" s="1" t="n">
        <f aca="false">AVERAGE(densidade_hab_indL!AQ2)</f>
        <v>0</v>
      </c>
      <c r="AR2" s="1" t="n">
        <f aca="false">AVERAGE(densidade_hab_indL!AR2)</f>
        <v>0</v>
      </c>
      <c r="AS2" s="1" t="n">
        <f aca="false">AVERAGE(densidade_hab_indL!AS2)</f>
        <v>0</v>
      </c>
      <c r="AT2" s="1" t="n">
        <f aca="false">AVERAGE(densidade_hab_indL!AT2)</f>
        <v>30.24</v>
      </c>
      <c r="AU2" s="1" t="n">
        <f aca="false">AVERAGE(densidade_hab_indL!AU2)</f>
        <v>0</v>
      </c>
      <c r="AV2" s="1" t="n">
        <f aca="false">AVERAGE(densidade_hab_indL!AV2)</f>
        <v>0</v>
      </c>
      <c r="AW2" s="1" t="n">
        <f aca="false">AVERAGE(densidade_hab_indL!AW2)</f>
        <v>0</v>
      </c>
      <c r="AX2" s="1" t="n">
        <f aca="false">AVERAGE(densidade_hab_indL!AX2)</f>
        <v>0</v>
      </c>
      <c r="AY2" s="1" t="n">
        <f aca="false">AVERAGE(densidade_hab_indL!AY2)</f>
        <v>0</v>
      </c>
      <c r="AZ2" s="1" t="n">
        <f aca="false">AVERAGE(densidade_hab_indL!AZ2)</f>
        <v>0</v>
      </c>
      <c r="BA2" s="1" t="n">
        <f aca="false">AVERAGE(densidade_hab_indL!BA2)</f>
        <v>0</v>
      </c>
      <c r="BB2" s="1" t="n">
        <f aca="false">AVERAGE(densidade_hab_indL!BB2)</f>
        <v>0</v>
      </c>
      <c r="BC2" s="1" t="n">
        <f aca="false">AVERAGE(densidade_hab_indL!BC2)</f>
        <v>0</v>
      </c>
      <c r="BD2" s="1" t="n">
        <f aca="false">AVERAGE(densidade_hab_indL!BD2)</f>
        <v>0</v>
      </c>
      <c r="BE2" s="1" t="n">
        <f aca="false">AVERAGE(densidade_hab_indL!BE2)</f>
        <v>0</v>
      </c>
    </row>
    <row r="3" customFormat="false" ht="12.8" hidden="false" customHeight="false" outlineLevel="0" collapsed="false">
      <c r="A3" s="1" t="s">
        <v>267</v>
      </c>
      <c r="B3" s="1" t="n">
        <f aca="false">AVERAGE(densidade_hab_indL!B5)</f>
        <v>0</v>
      </c>
      <c r="C3" s="1" t="n">
        <f aca="false">AVERAGE(densidade_hab_indL!C5)</f>
        <v>0</v>
      </c>
      <c r="D3" s="1" t="n">
        <f aca="false">AVERAGE(densidade_hab_indL!D5)</f>
        <v>0.82</v>
      </c>
      <c r="E3" s="1" t="n">
        <f aca="false">AVERAGE(densidade_hab_indL!E5)</f>
        <v>0</v>
      </c>
      <c r="F3" s="1" t="n">
        <f aca="false">AVERAGE(densidade_hab_indL!F5)</f>
        <v>0</v>
      </c>
      <c r="G3" s="1" t="n">
        <f aca="false">AVERAGE(densidade_hab_indL!G5)</f>
        <v>0</v>
      </c>
      <c r="H3" s="1" t="n">
        <f aca="false">AVERAGE(densidade_hab_indL!H5)</f>
        <v>0</v>
      </c>
      <c r="I3" s="1" t="n">
        <f aca="false">AVERAGE(densidade_hab_indL!I5)</f>
        <v>0</v>
      </c>
      <c r="J3" s="1" t="n">
        <f aca="false">AVERAGE(densidade_hab_indL!J5)</f>
        <v>0</v>
      </c>
      <c r="K3" s="1" t="n">
        <f aca="false">AVERAGE(densidade_hab_indL!K5)</f>
        <v>0.08</v>
      </c>
      <c r="L3" s="1" t="n">
        <f aca="false">AVERAGE(densidade_hab_indL!L5)</f>
        <v>0.14</v>
      </c>
      <c r="M3" s="1" t="n">
        <f aca="false">AVERAGE(densidade_hab_indL!M5)</f>
        <v>7.54</v>
      </c>
      <c r="N3" s="1" t="n">
        <f aca="false">AVERAGE(densidade_hab_indL!N5)</f>
        <v>0</v>
      </c>
      <c r="O3" s="1" t="n">
        <f aca="false">AVERAGE(densidade_hab_indL!O5)</f>
        <v>0.8</v>
      </c>
      <c r="P3" s="1" t="n">
        <f aca="false">AVERAGE(densidade_hab_indL!P5)</f>
        <v>0</v>
      </c>
      <c r="Q3" s="1" t="n">
        <f aca="false">AVERAGE(densidade_hab_indL!Q5)</f>
        <v>0</v>
      </c>
      <c r="R3" s="1" t="n">
        <f aca="false">AVERAGE(densidade_hab_indL!R5)</f>
        <v>0</v>
      </c>
      <c r="S3" s="1" t="n">
        <f aca="false">AVERAGE(densidade_hab_indL!S5)</f>
        <v>0</v>
      </c>
      <c r="T3" s="1" t="n">
        <f aca="false">AVERAGE(densidade_hab_indL!T5)</f>
        <v>0.24</v>
      </c>
      <c r="U3" s="1" t="n">
        <f aca="false">AVERAGE(densidade_hab_indL!U5)</f>
        <v>0</v>
      </c>
      <c r="V3" s="1" t="n">
        <f aca="false">AVERAGE(densidade_hab_indL!V5)</f>
        <v>0</v>
      </c>
      <c r="W3" s="1" t="n">
        <f aca="false">AVERAGE(densidade_hab_indL!W5)</f>
        <v>0.06</v>
      </c>
      <c r="X3" s="1" t="n">
        <f aca="false">AVERAGE(densidade_hab_indL!X5)</f>
        <v>0.04</v>
      </c>
      <c r="Y3" s="1" t="n">
        <f aca="false">AVERAGE(densidade_hab_indL!Y5)</f>
        <v>0.02</v>
      </c>
      <c r="Z3" s="1" t="n">
        <f aca="false">AVERAGE(densidade_hab_indL!Z5)</f>
        <v>0</v>
      </c>
      <c r="AA3" s="1" t="n">
        <f aca="false">AVERAGE(densidade_hab_indL!AA5)</f>
        <v>0.46</v>
      </c>
      <c r="AB3" s="1" t="n">
        <f aca="false">AVERAGE(densidade_hab_indL!AB5)</f>
        <v>0.02</v>
      </c>
      <c r="AC3" s="1" t="n">
        <f aca="false">AVERAGE(densidade_hab_indL!AC5)</f>
        <v>0</v>
      </c>
      <c r="AD3" s="1" t="n">
        <f aca="false">AVERAGE(densidade_hab_indL!AD5)</f>
        <v>0.08</v>
      </c>
      <c r="AE3" s="1" t="n">
        <f aca="false">AVERAGE(densidade_hab_indL!AE5)</f>
        <v>0</v>
      </c>
      <c r="AF3" s="1" t="n">
        <f aca="false">AVERAGE(densidade_hab_indL!AF5)</f>
        <v>0</v>
      </c>
      <c r="AG3" s="1" t="n">
        <f aca="false">AVERAGE(densidade_hab_indL!AG5)</f>
        <v>0</v>
      </c>
      <c r="AH3" s="1" t="n">
        <f aca="false">AVERAGE(densidade_hab_indL!AH5)</f>
        <v>0</v>
      </c>
      <c r="AI3" s="1" t="n">
        <f aca="false">AVERAGE(densidade_hab_indL!AI5)</f>
        <v>0</v>
      </c>
      <c r="AJ3" s="1" t="n">
        <f aca="false">AVERAGE(densidade_hab_indL!AJ5)</f>
        <v>0</v>
      </c>
      <c r="AK3" s="1" t="n">
        <f aca="false">AVERAGE(densidade_hab_indL!AK5)</f>
        <v>0</v>
      </c>
      <c r="AL3" s="1" t="n">
        <f aca="false">AVERAGE(densidade_hab_indL!AL5)</f>
        <v>0</v>
      </c>
      <c r="AM3" s="1" t="n">
        <f aca="false">AVERAGE(densidade_hab_indL!AM5)</f>
        <v>0</v>
      </c>
      <c r="AN3" s="1" t="n">
        <f aca="false">AVERAGE(densidade_hab_indL!AN5)</f>
        <v>0</v>
      </c>
      <c r="AO3" s="1" t="n">
        <f aca="false">AVERAGE(densidade_hab_indL!AO5)</f>
        <v>0</v>
      </c>
      <c r="AP3" s="1" t="n">
        <f aca="false">AVERAGE(densidade_hab_indL!AP5)</f>
        <v>0</v>
      </c>
      <c r="AQ3" s="1" t="n">
        <f aca="false">AVERAGE(densidade_hab_indL!AQ5)</f>
        <v>0</v>
      </c>
      <c r="AR3" s="1" t="n">
        <f aca="false">AVERAGE(densidade_hab_indL!AR5)</f>
        <v>0.06</v>
      </c>
      <c r="AS3" s="1" t="n">
        <f aca="false">AVERAGE(densidade_hab_indL!AS5)</f>
        <v>0</v>
      </c>
      <c r="AT3" s="1" t="n">
        <f aca="false">AVERAGE(densidade_hab_indL!AT5)</f>
        <v>111.74</v>
      </c>
      <c r="AU3" s="1" t="n">
        <f aca="false">AVERAGE(densidade_hab_indL!AU5)</f>
        <v>0</v>
      </c>
      <c r="AV3" s="1" t="n">
        <f aca="false">AVERAGE(densidade_hab_indL!AV5)</f>
        <v>0</v>
      </c>
      <c r="AW3" s="1" t="n">
        <f aca="false">AVERAGE(densidade_hab_indL!AW5)</f>
        <v>0</v>
      </c>
      <c r="AX3" s="1" t="n">
        <f aca="false">AVERAGE(densidade_hab_indL!AX5)</f>
        <v>0</v>
      </c>
      <c r="AY3" s="1" t="n">
        <f aca="false">AVERAGE(densidade_hab_indL!AY5)</f>
        <v>0</v>
      </c>
      <c r="AZ3" s="1" t="n">
        <f aca="false">AVERAGE(densidade_hab_indL!AZ5)</f>
        <v>0</v>
      </c>
      <c r="BA3" s="1" t="n">
        <f aca="false">AVERAGE(densidade_hab_indL!BA5)</f>
        <v>0</v>
      </c>
      <c r="BB3" s="1" t="n">
        <f aca="false">AVERAGE(densidade_hab_indL!BB5)</f>
        <v>2.42</v>
      </c>
      <c r="BC3" s="1" t="n">
        <f aca="false">AVERAGE(densidade_hab_indL!BC5)</f>
        <v>0</v>
      </c>
      <c r="BD3" s="1" t="n">
        <f aca="false">AVERAGE(densidade_hab_indL!BD5)</f>
        <v>0</v>
      </c>
      <c r="BE3" s="1" t="n">
        <f aca="false">AVERAGE(densidade_hab_indL!BE5)</f>
        <v>0</v>
      </c>
    </row>
    <row r="4" customFormat="false" ht="12.8" hidden="false" customHeight="false" outlineLevel="0" collapsed="false">
      <c r="A4" s="1" t="s">
        <v>268</v>
      </c>
      <c r="B4" s="1" t="n">
        <f aca="false">AVERAGE(densidade_hab_indL!B8)</f>
        <v>0</v>
      </c>
      <c r="C4" s="1" t="n">
        <f aca="false">AVERAGE(densidade_hab_indL!C8)</f>
        <v>0</v>
      </c>
      <c r="D4" s="1" t="n">
        <f aca="false">AVERAGE(densidade_hab_indL!D8)</f>
        <v>2.64</v>
      </c>
      <c r="E4" s="1" t="n">
        <f aca="false">AVERAGE(densidade_hab_indL!E8)</f>
        <v>0</v>
      </c>
      <c r="F4" s="1" t="n">
        <f aca="false">AVERAGE(densidade_hab_indL!F8)</f>
        <v>44.1</v>
      </c>
      <c r="G4" s="1" t="n">
        <f aca="false">AVERAGE(densidade_hab_indL!G8)</f>
        <v>0</v>
      </c>
      <c r="H4" s="1" t="n">
        <f aca="false">AVERAGE(densidade_hab_indL!H8)</f>
        <v>0</v>
      </c>
      <c r="I4" s="1" t="n">
        <f aca="false">AVERAGE(densidade_hab_indL!I8)</f>
        <v>93</v>
      </c>
      <c r="J4" s="1" t="n">
        <f aca="false">AVERAGE(densidade_hab_indL!J8)</f>
        <v>0</v>
      </c>
      <c r="K4" s="1" t="n">
        <f aca="false">AVERAGE(densidade_hab_indL!K8)</f>
        <v>0</v>
      </c>
      <c r="L4" s="1" t="n">
        <f aca="false">AVERAGE(densidade_hab_indL!L8)</f>
        <v>0</v>
      </c>
      <c r="M4" s="1" t="n">
        <f aca="false">AVERAGE(densidade_hab_indL!M8)</f>
        <v>4.44</v>
      </c>
      <c r="N4" s="1" t="n">
        <f aca="false">AVERAGE(densidade_hab_indL!N8)</f>
        <v>0</v>
      </c>
      <c r="O4" s="1" t="n">
        <f aca="false">AVERAGE(densidade_hab_indL!O8)</f>
        <v>6.78</v>
      </c>
      <c r="P4" s="1" t="n">
        <f aca="false">AVERAGE(densidade_hab_indL!P8)</f>
        <v>0</v>
      </c>
      <c r="Q4" s="1" t="n">
        <f aca="false">AVERAGE(densidade_hab_indL!Q8)</f>
        <v>0</v>
      </c>
      <c r="R4" s="1" t="n">
        <f aca="false">AVERAGE(densidade_hab_indL!R8)</f>
        <v>0</v>
      </c>
      <c r="S4" s="1" t="n">
        <f aca="false">AVERAGE(densidade_hab_indL!S8)</f>
        <v>0</v>
      </c>
      <c r="T4" s="1" t="n">
        <f aca="false">AVERAGE(densidade_hab_indL!T8)</f>
        <v>5.58</v>
      </c>
      <c r="U4" s="1" t="n">
        <f aca="false">AVERAGE(densidade_hab_indL!U8)</f>
        <v>0</v>
      </c>
      <c r="V4" s="1" t="n">
        <f aca="false">AVERAGE(densidade_hab_indL!V8)</f>
        <v>0</v>
      </c>
      <c r="W4" s="1" t="n">
        <f aca="false">AVERAGE(densidade_hab_indL!W8)</f>
        <v>0</v>
      </c>
      <c r="X4" s="1" t="n">
        <f aca="false">AVERAGE(densidade_hab_indL!X8)</f>
        <v>0</v>
      </c>
      <c r="Y4" s="1" t="n">
        <f aca="false">AVERAGE(densidade_hab_indL!Y8)</f>
        <v>0</v>
      </c>
      <c r="Z4" s="1" t="n">
        <f aca="false">AVERAGE(densidade_hab_indL!Z8)</f>
        <v>0</v>
      </c>
      <c r="AA4" s="1" t="n">
        <f aca="false">AVERAGE(densidade_hab_indL!AA8)</f>
        <v>0.3</v>
      </c>
      <c r="AB4" s="1" t="n">
        <f aca="false">AVERAGE(densidade_hab_indL!AB8)</f>
        <v>0</v>
      </c>
      <c r="AC4" s="1" t="n">
        <f aca="false">AVERAGE(densidade_hab_indL!AC8)</f>
        <v>0</v>
      </c>
      <c r="AD4" s="1" t="n">
        <f aca="false">AVERAGE(densidade_hab_indL!AD8)</f>
        <v>0</v>
      </c>
      <c r="AE4" s="1" t="n">
        <f aca="false">AVERAGE(densidade_hab_indL!AE8)</f>
        <v>0</v>
      </c>
      <c r="AF4" s="1" t="n">
        <f aca="false">AVERAGE(densidade_hab_indL!AF8)</f>
        <v>0</v>
      </c>
      <c r="AG4" s="1" t="n">
        <f aca="false">AVERAGE(densidade_hab_indL!AG8)</f>
        <v>0</v>
      </c>
      <c r="AH4" s="1" t="n">
        <f aca="false">AVERAGE(densidade_hab_indL!AH8)</f>
        <v>0</v>
      </c>
      <c r="AI4" s="1" t="n">
        <f aca="false">AVERAGE(densidade_hab_indL!AI8)</f>
        <v>0</v>
      </c>
      <c r="AJ4" s="1" t="n">
        <f aca="false">AVERAGE(densidade_hab_indL!AJ8)</f>
        <v>0</v>
      </c>
      <c r="AK4" s="1" t="n">
        <f aca="false">AVERAGE(densidade_hab_indL!AK8)</f>
        <v>0</v>
      </c>
      <c r="AL4" s="1" t="n">
        <f aca="false">AVERAGE(densidade_hab_indL!AL8)</f>
        <v>0</v>
      </c>
      <c r="AM4" s="1" t="n">
        <f aca="false">AVERAGE(densidade_hab_indL!AM8)</f>
        <v>0</v>
      </c>
      <c r="AN4" s="1" t="n">
        <f aca="false">AVERAGE(densidade_hab_indL!AN8)</f>
        <v>0</v>
      </c>
      <c r="AO4" s="1" t="n">
        <f aca="false">AVERAGE(densidade_hab_indL!AO8)</f>
        <v>0</v>
      </c>
      <c r="AP4" s="1" t="n">
        <f aca="false">AVERAGE(densidade_hab_indL!AP8)</f>
        <v>0</v>
      </c>
      <c r="AQ4" s="1" t="n">
        <f aca="false">AVERAGE(densidade_hab_indL!AQ8)</f>
        <v>0</v>
      </c>
      <c r="AR4" s="1" t="n">
        <f aca="false">AVERAGE(densidade_hab_indL!AR8)</f>
        <v>1.2</v>
      </c>
      <c r="AS4" s="1" t="n">
        <f aca="false">AVERAGE(densidade_hab_indL!AS8)</f>
        <v>0.02</v>
      </c>
      <c r="AT4" s="1" t="n">
        <f aca="false">AVERAGE(densidade_hab_indL!AT8)</f>
        <v>8.7</v>
      </c>
      <c r="AU4" s="1" t="n">
        <f aca="false">AVERAGE(densidade_hab_indL!AU8)</f>
        <v>0</v>
      </c>
      <c r="AV4" s="1" t="n">
        <f aca="false">AVERAGE(densidade_hab_indL!AV8)</f>
        <v>0</v>
      </c>
      <c r="AW4" s="1" t="n">
        <f aca="false">AVERAGE(densidade_hab_indL!AW8)</f>
        <v>0</v>
      </c>
      <c r="AX4" s="1" t="n">
        <f aca="false">AVERAGE(densidade_hab_indL!AX8)</f>
        <v>0</v>
      </c>
      <c r="AY4" s="1" t="n">
        <f aca="false">AVERAGE(densidade_hab_indL!AY8)</f>
        <v>0</v>
      </c>
      <c r="AZ4" s="1" t="n">
        <f aca="false">AVERAGE(densidade_hab_indL!AZ8)</f>
        <v>0</v>
      </c>
      <c r="BA4" s="1" t="n">
        <f aca="false">AVERAGE(densidade_hab_indL!BA8)</f>
        <v>0</v>
      </c>
      <c r="BB4" s="1" t="n">
        <f aca="false">AVERAGE(densidade_hab_indL!BB8)</f>
        <v>0</v>
      </c>
      <c r="BC4" s="1" t="n">
        <f aca="false">AVERAGE(densidade_hab_indL!BC8)</f>
        <v>0</v>
      </c>
      <c r="BD4" s="1" t="n">
        <f aca="false">AVERAGE(densidade_hab_indL!BD8)</f>
        <v>0</v>
      </c>
      <c r="BE4" s="1" t="n">
        <f aca="false">AVERAGE(densidade_hab_indL!BE8)</f>
        <v>0</v>
      </c>
    </row>
    <row r="5" customFormat="false" ht="12.8" hidden="false" customHeight="false" outlineLevel="0" collapsed="false">
      <c r="A5" s="1" t="s">
        <v>269</v>
      </c>
      <c r="B5" s="1" t="n">
        <f aca="false">AVERAGE(densidade_hab_indL!B11)</f>
        <v>0</v>
      </c>
      <c r="C5" s="1" t="n">
        <f aca="false">AVERAGE(densidade_hab_indL!C11)</f>
        <v>0</v>
      </c>
      <c r="D5" s="1" t="n">
        <f aca="false">AVERAGE(densidade_hab_indL!D11)</f>
        <v>0.24</v>
      </c>
      <c r="E5" s="1" t="n">
        <f aca="false">AVERAGE(densidade_hab_indL!E11)</f>
        <v>0</v>
      </c>
      <c r="F5" s="1" t="n">
        <f aca="false">AVERAGE(densidade_hab_indL!F11)</f>
        <v>6.52</v>
      </c>
      <c r="G5" s="1" t="n">
        <f aca="false">AVERAGE(densidade_hab_indL!G11)</f>
        <v>0</v>
      </c>
      <c r="H5" s="1" t="n">
        <f aca="false">AVERAGE(densidade_hab_indL!H11)</f>
        <v>0</v>
      </c>
      <c r="I5" s="1" t="n">
        <f aca="false">AVERAGE(densidade_hab_indL!I11)</f>
        <v>24.2</v>
      </c>
      <c r="J5" s="1" t="n">
        <f aca="false">AVERAGE(densidade_hab_indL!J11)</f>
        <v>0</v>
      </c>
      <c r="K5" s="1" t="n">
        <f aca="false">AVERAGE(densidade_hab_indL!K11)</f>
        <v>0.04</v>
      </c>
      <c r="L5" s="1" t="n">
        <f aca="false">AVERAGE(densidade_hab_indL!L11)</f>
        <v>0</v>
      </c>
      <c r="M5" s="1" t="n">
        <f aca="false">AVERAGE(densidade_hab_indL!M11)</f>
        <v>0.4</v>
      </c>
      <c r="N5" s="1" t="n">
        <f aca="false">AVERAGE(densidade_hab_indL!N11)</f>
        <v>0</v>
      </c>
      <c r="O5" s="1" t="n">
        <f aca="false">AVERAGE(densidade_hab_indL!O11)</f>
        <v>0.72</v>
      </c>
      <c r="P5" s="1" t="n">
        <f aca="false">AVERAGE(densidade_hab_indL!P11)</f>
        <v>0</v>
      </c>
      <c r="Q5" s="1" t="n">
        <f aca="false">AVERAGE(densidade_hab_indL!Q11)</f>
        <v>0</v>
      </c>
      <c r="R5" s="1" t="n">
        <f aca="false">AVERAGE(densidade_hab_indL!R11)</f>
        <v>0</v>
      </c>
      <c r="S5" s="1" t="n">
        <f aca="false">AVERAGE(densidade_hab_indL!S11)</f>
        <v>0</v>
      </c>
      <c r="T5" s="1" t="n">
        <f aca="false">AVERAGE(densidade_hab_indL!T11)</f>
        <v>0.38</v>
      </c>
      <c r="U5" s="1" t="n">
        <f aca="false">AVERAGE(densidade_hab_indL!U11)</f>
        <v>0</v>
      </c>
      <c r="V5" s="1" t="n">
        <f aca="false">AVERAGE(densidade_hab_indL!V11)</f>
        <v>0</v>
      </c>
      <c r="W5" s="1" t="n">
        <f aca="false">AVERAGE(densidade_hab_indL!W11)</f>
        <v>0</v>
      </c>
      <c r="X5" s="1" t="n">
        <f aca="false">AVERAGE(densidade_hab_indL!X11)</f>
        <v>0</v>
      </c>
      <c r="Y5" s="1" t="n">
        <f aca="false">AVERAGE(densidade_hab_indL!Y11)</f>
        <v>0</v>
      </c>
      <c r="Z5" s="1" t="n">
        <f aca="false">AVERAGE(densidade_hab_indL!Z11)</f>
        <v>0</v>
      </c>
      <c r="AA5" s="1" t="n">
        <f aca="false">AVERAGE(densidade_hab_indL!AA11)</f>
        <v>0</v>
      </c>
      <c r="AB5" s="1" t="n">
        <f aca="false">AVERAGE(densidade_hab_indL!AB11)</f>
        <v>0</v>
      </c>
      <c r="AC5" s="1" t="n">
        <f aca="false">AVERAGE(densidade_hab_indL!AC11)</f>
        <v>0</v>
      </c>
      <c r="AD5" s="1" t="n">
        <f aca="false">AVERAGE(densidade_hab_indL!AD11)</f>
        <v>0.02</v>
      </c>
      <c r="AE5" s="1" t="n">
        <f aca="false">AVERAGE(densidade_hab_indL!AE11)</f>
        <v>0</v>
      </c>
      <c r="AF5" s="1" t="n">
        <f aca="false">AVERAGE(densidade_hab_indL!AF11)</f>
        <v>0.02</v>
      </c>
      <c r="AG5" s="1" t="n">
        <f aca="false">AVERAGE(densidade_hab_indL!AG11)</f>
        <v>0</v>
      </c>
      <c r="AH5" s="1" t="n">
        <f aca="false">AVERAGE(densidade_hab_indL!AH11)</f>
        <v>0</v>
      </c>
      <c r="AI5" s="1" t="n">
        <f aca="false">AVERAGE(densidade_hab_indL!AI11)</f>
        <v>0.06</v>
      </c>
      <c r="AJ5" s="1" t="n">
        <f aca="false">AVERAGE(densidade_hab_indL!AJ11)</f>
        <v>0</v>
      </c>
      <c r="AK5" s="1" t="n">
        <f aca="false">AVERAGE(densidade_hab_indL!AK11)</f>
        <v>0</v>
      </c>
      <c r="AL5" s="1" t="n">
        <f aca="false">AVERAGE(densidade_hab_indL!AL11)</f>
        <v>0</v>
      </c>
      <c r="AM5" s="1" t="n">
        <f aca="false">AVERAGE(densidade_hab_indL!AM11)</f>
        <v>0</v>
      </c>
      <c r="AN5" s="1" t="n">
        <f aca="false">AVERAGE(densidade_hab_indL!AN11)</f>
        <v>0</v>
      </c>
      <c r="AO5" s="1" t="n">
        <f aca="false">AVERAGE(densidade_hab_indL!AO11)</f>
        <v>0</v>
      </c>
      <c r="AP5" s="1" t="n">
        <f aca="false">AVERAGE(densidade_hab_indL!AP11)</f>
        <v>0</v>
      </c>
      <c r="AQ5" s="1" t="n">
        <f aca="false">AVERAGE(densidade_hab_indL!AQ11)</f>
        <v>0</v>
      </c>
      <c r="AR5" s="1" t="n">
        <f aca="false">AVERAGE(densidade_hab_indL!AR11)</f>
        <v>1.64</v>
      </c>
      <c r="AS5" s="1" t="n">
        <f aca="false">AVERAGE(densidade_hab_indL!AS11)</f>
        <v>0.04</v>
      </c>
      <c r="AT5" s="1" t="n">
        <f aca="false">AVERAGE(densidade_hab_indL!AT11)</f>
        <v>0.62</v>
      </c>
      <c r="AU5" s="1" t="n">
        <f aca="false">AVERAGE(densidade_hab_indL!AU11)</f>
        <v>0</v>
      </c>
      <c r="AV5" s="1" t="n">
        <f aca="false">AVERAGE(densidade_hab_indL!AV11)</f>
        <v>0</v>
      </c>
      <c r="AW5" s="1" t="n">
        <f aca="false">AVERAGE(densidade_hab_indL!AW11)</f>
        <v>0</v>
      </c>
      <c r="AX5" s="1" t="n">
        <f aca="false">AVERAGE(densidade_hab_indL!AX11)</f>
        <v>0</v>
      </c>
      <c r="AY5" s="1" t="n">
        <f aca="false">AVERAGE(densidade_hab_indL!AY11)</f>
        <v>0</v>
      </c>
      <c r="AZ5" s="1" t="n">
        <f aca="false">AVERAGE(densidade_hab_indL!AZ11)</f>
        <v>0</v>
      </c>
      <c r="BA5" s="1" t="n">
        <f aca="false">AVERAGE(densidade_hab_indL!BA11)</f>
        <v>0.02</v>
      </c>
      <c r="BB5" s="1" t="n">
        <f aca="false">AVERAGE(densidade_hab_indL!BB11)</f>
        <v>0.02</v>
      </c>
      <c r="BC5" s="1" t="n">
        <f aca="false">AVERAGE(densidade_hab_indL!BC11)</f>
        <v>0</v>
      </c>
      <c r="BD5" s="1" t="n">
        <f aca="false">AVERAGE(densidade_hab_indL!BD11)</f>
        <v>0</v>
      </c>
      <c r="BE5" s="1" t="n">
        <f aca="false">AVERAGE(densidade_hab_indL!BE11)</f>
        <v>0</v>
      </c>
    </row>
    <row r="6" customFormat="false" ht="12.8" hidden="false" customHeight="false" outlineLevel="0" collapsed="false">
      <c r="A6" s="1" t="s">
        <v>270</v>
      </c>
      <c r="B6" s="1" t="n">
        <f aca="false">AVERAGE(densidade_hab_indL!B14)</f>
        <v>0.02</v>
      </c>
      <c r="C6" s="1" t="n">
        <f aca="false">AVERAGE(densidade_hab_indL!C14)</f>
        <v>0</v>
      </c>
      <c r="D6" s="1" t="n">
        <f aca="false">AVERAGE(densidade_hab_indL!D14)</f>
        <v>1</v>
      </c>
      <c r="E6" s="1" t="n">
        <f aca="false">AVERAGE(densidade_hab_indL!E14)</f>
        <v>0</v>
      </c>
      <c r="F6" s="1" t="n">
        <f aca="false">AVERAGE(densidade_hab_indL!F14)</f>
        <v>3.36</v>
      </c>
      <c r="G6" s="1" t="n">
        <f aca="false">AVERAGE(densidade_hab_indL!G14)</f>
        <v>0</v>
      </c>
      <c r="H6" s="1" t="n">
        <f aca="false">AVERAGE(densidade_hab_indL!H14)</f>
        <v>0</v>
      </c>
      <c r="I6" s="1" t="n">
        <f aca="false">AVERAGE(densidade_hab_indL!I14)</f>
        <v>4.3</v>
      </c>
      <c r="J6" s="1" t="n">
        <f aca="false">AVERAGE(densidade_hab_indL!J14)</f>
        <v>0</v>
      </c>
      <c r="K6" s="1" t="n">
        <f aca="false">AVERAGE(densidade_hab_indL!K14)</f>
        <v>0.06</v>
      </c>
      <c r="L6" s="1" t="n">
        <f aca="false">AVERAGE(densidade_hab_indL!L14)</f>
        <v>0</v>
      </c>
      <c r="M6" s="1" t="n">
        <f aca="false">AVERAGE(densidade_hab_indL!M14)</f>
        <v>0.32</v>
      </c>
      <c r="N6" s="1" t="n">
        <f aca="false">AVERAGE(densidade_hab_indL!N14)</f>
        <v>0</v>
      </c>
      <c r="O6" s="1" t="n">
        <f aca="false">AVERAGE(densidade_hab_indL!O14)</f>
        <v>0.38</v>
      </c>
      <c r="P6" s="1" t="n">
        <f aca="false">AVERAGE(densidade_hab_indL!P14)</f>
        <v>0</v>
      </c>
      <c r="Q6" s="1" t="n">
        <f aca="false">AVERAGE(densidade_hab_indL!Q14)</f>
        <v>0</v>
      </c>
      <c r="R6" s="1" t="n">
        <f aca="false">AVERAGE(densidade_hab_indL!R14)</f>
        <v>0</v>
      </c>
      <c r="S6" s="1" t="n">
        <f aca="false">AVERAGE(densidade_hab_indL!S14)</f>
        <v>0</v>
      </c>
      <c r="T6" s="1" t="n">
        <f aca="false">AVERAGE(densidade_hab_indL!T14)</f>
        <v>0.42</v>
      </c>
      <c r="U6" s="1" t="n">
        <f aca="false">AVERAGE(densidade_hab_indL!U14)</f>
        <v>0</v>
      </c>
      <c r="V6" s="1" t="n">
        <f aca="false">AVERAGE(densidade_hab_indL!V14)</f>
        <v>0</v>
      </c>
      <c r="W6" s="1" t="n">
        <f aca="false">AVERAGE(densidade_hab_indL!W14)</f>
        <v>0</v>
      </c>
      <c r="X6" s="1" t="n">
        <f aca="false">AVERAGE(densidade_hab_indL!X14)</f>
        <v>0</v>
      </c>
      <c r="Y6" s="1" t="n">
        <f aca="false">AVERAGE(densidade_hab_indL!Y14)</f>
        <v>0</v>
      </c>
      <c r="Z6" s="1" t="n">
        <f aca="false">AVERAGE(densidade_hab_indL!Z14)</f>
        <v>0</v>
      </c>
      <c r="AA6" s="1" t="n">
        <f aca="false">AVERAGE(densidade_hab_indL!AA14)</f>
        <v>0</v>
      </c>
      <c r="AB6" s="1" t="n">
        <f aca="false">AVERAGE(densidade_hab_indL!AB14)</f>
        <v>0</v>
      </c>
      <c r="AC6" s="1" t="n">
        <f aca="false">AVERAGE(densidade_hab_indL!AC14)</f>
        <v>0.02</v>
      </c>
      <c r="AD6" s="1" t="n">
        <f aca="false">AVERAGE(densidade_hab_indL!AD14)</f>
        <v>0.1</v>
      </c>
      <c r="AE6" s="1" t="n">
        <f aca="false">AVERAGE(densidade_hab_indL!AE14)</f>
        <v>0</v>
      </c>
      <c r="AF6" s="1" t="n">
        <f aca="false">AVERAGE(densidade_hab_indL!AF14)</f>
        <v>0.52</v>
      </c>
      <c r="AG6" s="1" t="n">
        <f aca="false">AVERAGE(densidade_hab_indL!AG14)</f>
        <v>0</v>
      </c>
      <c r="AH6" s="1" t="n">
        <f aca="false">AVERAGE(densidade_hab_indL!AH14)</f>
        <v>0</v>
      </c>
      <c r="AI6" s="1" t="n">
        <f aca="false">AVERAGE(densidade_hab_indL!AI14)</f>
        <v>0.04</v>
      </c>
      <c r="AJ6" s="1" t="n">
        <f aca="false">AVERAGE(densidade_hab_indL!AJ14)</f>
        <v>0.84</v>
      </c>
      <c r="AK6" s="1" t="n">
        <f aca="false">AVERAGE(densidade_hab_indL!AK14)</f>
        <v>0</v>
      </c>
      <c r="AL6" s="1" t="n">
        <f aca="false">AVERAGE(densidade_hab_indL!AL14)</f>
        <v>0.06</v>
      </c>
      <c r="AM6" s="1" t="n">
        <f aca="false">AVERAGE(densidade_hab_indL!AM14)</f>
        <v>0</v>
      </c>
      <c r="AN6" s="1" t="n">
        <f aca="false">AVERAGE(densidade_hab_indL!AN14)</f>
        <v>0</v>
      </c>
      <c r="AO6" s="1" t="n">
        <f aca="false">AVERAGE(densidade_hab_indL!AO14)</f>
        <v>0</v>
      </c>
      <c r="AP6" s="1" t="n">
        <f aca="false">AVERAGE(densidade_hab_indL!AP14)</f>
        <v>0</v>
      </c>
      <c r="AQ6" s="1" t="n">
        <f aca="false">AVERAGE(densidade_hab_indL!AQ14)</f>
        <v>0.02</v>
      </c>
      <c r="AR6" s="1" t="n">
        <f aca="false">AVERAGE(densidade_hab_indL!AR14)</f>
        <v>0.48</v>
      </c>
      <c r="AS6" s="1" t="n">
        <f aca="false">AVERAGE(densidade_hab_indL!AS14)</f>
        <v>0</v>
      </c>
      <c r="AT6" s="1" t="n">
        <f aca="false">AVERAGE(densidade_hab_indL!AT14)</f>
        <v>0.44</v>
      </c>
      <c r="AU6" s="1" t="n">
        <f aca="false">AVERAGE(densidade_hab_indL!AU14)</f>
        <v>0</v>
      </c>
      <c r="AV6" s="1" t="n">
        <f aca="false">AVERAGE(densidade_hab_indL!AV14)</f>
        <v>0</v>
      </c>
      <c r="AW6" s="1" t="n">
        <f aca="false">AVERAGE(densidade_hab_indL!AW14)</f>
        <v>0.02</v>
      </c>
      <c r="AX6" s="1" t="n">
        <f aca="false">AVERAGE(densidade_hab_indL!AX14)</f>
        <v>0.34</v>
      </c>
      <c r="AY6" s="1" t="n">
        <f aca="false">AVERAGE(densidade_hab_indL!AY14)</f>
        <v>0</v>
      </c>
      <c r="AZ6" s="1" t="n">
        <f aca="false">AVERAGE(densidade_hab_indL!AZ14)</f>
        <v>0</v>
      </c>
      <c r="BA6" s="1" t="n">
        <f aca="false">AVERAGE(densidade_hab_indL!BA14)</f>
        <v>0</v>
      </c>
      <c r="BB6" s="1" t="n">
        <f aca="false">AVERAGE(densidade_hab_indL!BB14)</f>
        <v>0</v>
      </c>
      <c r="BC6" s="1" t="n">
        <f aca="false">AVERAGE(densidade_hab_indL!BC14)</f>
        <v>0.12</v>
      </c>
      <c r="BD6" s="1" t="n">
        <f aca="false">AVERAGE(densidade_hab_indL!BD14)</f>
        <v>0</v>
      </c>
      <c r="BE6" s="1" t="n">
        <f aca="false">AVERAGE(densidade_hab_indL!BE14)</f>
        <v>0</v>
      </c>
    </row>
    <row r="7" customFormat="false" ht="12.8" hidden="false" customHeight="false" outlineLevel="0" collapsed="false">
      <c r="A7" s="1" t="s">
        <v>271</v>
      </c>
      <c r="B7" s="1" t="n">
        <f aca="false">AVERAGE(densidade_hab_indL!B17)</f>
        <v>0.04</v>
      </c>
      <c r="C7" s="1" t="n">
        <f aca="false">AVERAGE(densidade_hab_indL!C17)</f>
        <v>0</v>
      </c>
      <c r="D7" s="1" t="n">
        <f aca="false">AVERAGE(densidade_hab_indL!D17)</f>
        <v>0.02</v>
      </c>
      <c r="E7" s="1" t="n">
        <f aca="false">AVERAGE(densidade_hab_indL!E17)</f>
        <v>0</v>
      </c>
      <c r="F7" s="1" t="n">
        <f aca="false">AVERAGE(densidade_hab_indL!F17)</f>
        <v>0.76</v>
      </c>
      <c r="G7" s="1" t="n">
        <f aca="false">AVERAGE(densidade_hab_indL!G17)</f>
        <v>0</v>
      </c>
      <c r="H7" s="1" t="n">
        <f aca="false">AVERAGE(densidade_hab_indL!H17)</f>
        <v>0</v>
      </c>
      <c r="I7" s="1" t="n">
        <f aca="false">AVERAGE(densidade_hab_indL!I17)</f>
        <v>0.8</v>
      </c>
      <c r="J7" s="1" t="n">
        <f aca="false">AVERAGE(densidade_hab_indL!J17)</f>
        <v>0</v>
      </c>
      <c r="K7" s="1" t="n">
        <f aca="false">AVERAGE(densidade_hab_indL!K17)</f>
        <v>0</v>
      </c>
      <c r="L7" s="1" t="n">
        <f aca="false">AVERAGE(densidade_hab_indL!L17)</f>
        <v>0</v>
      </c>
      <c r="M7" s="1" t="n">
        <f aca="false">AVERAGE(densidade_hab_indL!M17)</f>
        <v>0.1</v>
      </c>
      <c r="N7" s="1" t="n">
        <f aca="false">AVERAGE(densidade_hab_indL!N17)</f>
        <v>0.04</v>
      </c>
      <c r="O7" s="1" t="n">
        <f aca="false">AVERAGE(densidade_hab_indL!O17)</f>
        <v>0.02</v>
      </c>
      <c r="P7" s="1" t="n">
        <f aca="false">AVERAGE(densidade_hab_indL!P17)</f>
        <v>0</v>
      </c>
      <c r="Q7" s="1" t="n">
        <f aca="false">AVERAGE(densidade_hab_indL!Q17)</f>
        <v>0</v>
      </c>
      <c r="R7" s="1" t="n">
        <f aca="false">AVERAGE(densidade_hab_indL!R17)</f>
        <v>0</v>
      </c>
      <c r="S7" s="1" t="n">
        <f aca="false">AVERAGE(densidade_hab_indL!S17)</f>
        <v>0</v>
      </c>
      <c r="T7" s="1" t="n">
        <f aca="false">AVERAGE(densidade_hab_indL!T17)</f>
        <v>0.1</v>
      </c>
      <c r="U7" s="1" t="n">
        <f aca="false">AVERAGE(densidade_hab_indL!U17)</f>
        <v>0</v>
      </c>
      <c r="V7" s="1" t="n">
        <f aca="false">AVERAGE(densidade_hab_indL!V17)</f>
        <v>0</v>
      </c>
      <c r="W7" s="1" t="n">
        <f aca="false">AVERAGE(densidade_hab_indL!W17)</f>
        <v>0</v>
      </c>
      <c r="X7" s="1" t="n">
        <f aca="false">AVERAGE(densidade_hab_indL!X17)</f>
        <v>0</v>
      </c>
      <c r="Y7" s="1" t="n">
        <f aca="false">AVERAGE(densidade_hab_indL!Y17)</f>
        <v>0</v>
      </c>
      <c r="Z7" s="1" t="n">
        <f aca="false">AVERAGE(densidade_hab_indL!Z17)</f>
        <v>0</v>
      </c>
      <c r="AA7" s="1" t="n">
        <f aca="false">AVERAGE(densidade_hab_indL!AA17)</f>
        <v>0</v>
      </c>
      <c r="AB7" s="1" t="n">
        <f aca="false">AVERAGE(densidade_hab_indL!AB17)</f>
        <v>0</v>
      </c>
      <c r="AC7" s="1" t="n">
        <f aca="false">AVERAGE(densidade_hab_indL!AC17)</f>
        <v>0</v>
      </c>
      <c r="AD7" s="1" t="n">
        <f aca="false">AVERAGE(densidade_hab_indL!AD17)</f>
        <v>0.02</v>
      </c>
      <c r="AE7" s="1" t="n">
        <f aca="false">AVERAGE(densidade_hab_indL!AE17)</f>
        <v>0</v>
      </c>
      <c r="AF7" s="1" t="n">
        <f aca="false">AVERAGE(densidade_hab_indL!AF17)</f>
        <v>0.04</v>
      </c>
      <c r="AG7" s="1" t="n">
        <f aca="false">AVERAGE(densidade_hab_indL!AG17)</f>
        <v>0.04</v>
      </c>
      <c r="AH7" s="1" t="n">
        <f aca="false">AVERAGE(densidade_hab_indL!AH17)</f>
        <v>0</v>
      </c>
      <c r="AI7" s="1" t="n">
        <f aca="false">AVERAGE(densidade_hab_indL!AI17)</f>
        <v>0.02</v>
      </c>
      <c r="AJ7" s="1" t="n">
        <f aca="false">AVERAGE(densidade_hab_indL!AJ17)</f>
        <v>0.22</v>
      </c>
      <c r="AK7" s="1" t="n">
        <f aca="false">AVERAGE(densidade_hab_indL!AK17)</f>
        <v>0</v>
      </c>
      <c r="AL7" s="1" t="n">
        <f aca="false">AVERAGE(densidade_hab_indL!AL17)</f>
        <v>0.04</v>
      </c>
      <c r="AM7" s="1" t="n">
        <f aca="false">AVERAGE(densidade_hab_indL!AM17)</f>
        <v>0</v>
      </c>
      <c r="AN7" s="1" t="n">
        <f aca="false">AVERAGE(densidade_hab_indL!AN17)</f>
        <v>0.02</v>
      </c>
      <c r="AO7" s="1" t="n">
        <f aca="false">AVERAGE(densidade_hab_indL!AO17)</f>
        <v>0</v>
      </c>
      <c r="AP7" s="1" t="n">
        <f aca="false">AVERAGE(densidade_hab_indL!AP17)</f>
        <v>0</v>
      </c>
      <c r="AQ7" s="1" t="n">
        <f aca="false">AVERAGE(densidade_hab_indL!AQ17)</f>
        <v>0</v>
      </c>
      <c r="AR7" s="1" t="n">
        <f aca="false">AVERAGE(densidade_hab_indL!AR17)</f>
        <v>0.16</v>
      </c>
      <c r="AS7" s="1" t="n">
        <f aca="false">AVERAGE(densidade_hab_indL!AS17)</f>
        <v>0.02</v>
      </c>
      <c r="AT7" s="1" t="n">
        <f aca="false">AVERAGE(densidade_hab_indL!AT17)</f>
        <v>0.22</v>
      </c>
      <c r="AU7" s="1" t="n">
        <f aca="false">AVERAGE(densidade_hab_indL!AU17)</f>
        <v>0</v>
      </c>
      <c r="AV7" s="1" t="n">
        <f aca="false">AVERAGE(densidade_hab_indL!AV17)</f>
        <v>0</v>
      </c>
      <c r="AW7" s="1" t="n">
        <f aca="false">AVERAGE(densidade_hab_indL!AW17)</f>
        <v>0</v>
      </c>
      <c r="AX7" s="1" t="n">
        <f aca="false">AVERAGE(densidade_hab_indL!AX17)</f>
        <v>0.06</v>
      </c>
      <c r="AY7" s="1" t="n">
        <f aca="false">AVERAGE(densidade_hab_indL!AY17)</f>
        <v>0</v>
      </c>
      <c r="AZ7" s="1" t="n">
        <f aca="false">AVERAGE(densidade_hab_indL!AZ17)</f>
        <v>0</v>
      </c>
      <c r="BA7" s="1" t="n">
        <f aca="false">AVERAGE(densidade_hab_indL!BA17)</f>
        <v>0</v>
      </c>
      <c r="BB7" s="1" t="n">
        <f aca="false">AVERAGE(densidade_hab_indL!BB17)</f>
        <v>0</v>
      </c>
      <c r="BC7" s="1" t="n">
        <f aca="false">AVERAGE(densidade_hab_indL!BC17)</f>
        <v>0.16</v>
      </c>
      <c r="BD7" s="1" t="n">
        <f aca="false">AVERAGE(densidade_hab_indL!BD17)</f>
        <v>0</v>
      </c>
      <c r="BE7" s="1" t="n">
        <f aca="false">AVERAGE(densidade_hab_indL!BE17)</f>
        <v>0</v>
      </c>
    </row>
    <row r="8" customFormat="false" ht="12.8" hidden="false" customHeight="false" outlineLevel="0" collapsed="false">
      <c r="A8" s="1" t="s">
        <v>272</v>
      </c>
      <c r="B8" s="1" t="n">
        <f aca="false">AVERAGE(densidade_hab_indL!B20)</f>
        <v>0.06</v>
      </c>
      <c r="C8" s="1" t="n">
        <f aca="false">AVERAGE(densidade_hab_indL!C20)</f>
        <v>0</v>
      </c>
      <c r="D8" s="1" t="n">
        <f aca="false">AVERAGE(densidade_hab_indL!D20)</f>
        <v>0.54</v>
      </c>
      <c r="E8" s="1" t="n">
        <f aca="false">AVERAGE(densidade_hab_indL!E20)</f>
        <v>0</v>
      </c>
      <c r="F8" s="1" t="n">
        <f aca="false">AVERAGE(densidade_hab_indL!F20)</f>
        <v>0.26</v>
      </c>
      <c r="G8" s="1" t="n">
        <f aca="false">AVERAGE(densidade_hab_indL!G20)</f>
        <v>0</v>
      </c>
      <c r="H8" s="1" t="n">
        <f aca="false">AVERAGE(densidade_hab_indL!H20)</f>
        <v>0</v>
      </c>
      <c r="I8" s="1" t="n">
        <f aca="false">AVERAGE(densidade_hab_indL!I20)</f>
        <v>0.76</v>
      </c>
      <c r="J8" s="1" t="n">
        <f aca="false">AVERAGE(densidade_hab_indL!J20)</f>
        <v>0</v>
      </c>
      <c r="K8" s="1" t="n">
        <f aca="false">AVERAGE(densidade_hab_indL!K20)</f>
        <v>0</v>
      </c>
      <c r="L8" s="1" t="n">
        <f aca="false">AVERAGE(densidade_hab_indL!L20)</f>
        <v>0</v>
      </c>
      <c r="M8" s="1" t="n">
        <f aca="false">AVERAGE(densidade_hab_indL!M20)</f>
        <v>0.36</v>
      </c>
      <c r="N8" s="1" t="n">
        <f aca="false">AVERAGE(densidade_hab_indL!N20)</f>
        <v>0.06</v>
      </c>
      <c r="O8" s="1" t="n">
        <f aca="false">AVERAGE(densidade_hab_indL!O20)</f>
        <v>0.3</v>
      </c>
      <c r="P8" s="1" t="n">
        <f aca="false">AVERAGE(densidade_hab_indL!P20)</f>
        <v>0</v>
      </c>
      <c r="Q8" s="1" t="n">
        <f aca="false">AVERAGE(densidade_hab_indL!Q20)</f>
        <v>0.08</v>
      </c>
      <c r="R8" s="1" t="n">
        <f aca="false">AVERAGE(densidade_hab_indL!R20)</f>
        <v>0</v>
      </c>
      <c r="S8" s="1" t="n">
        <f aca="false">AVERAGE(densidade_hab_indL!S20)</f>
        <v>0.02</v>
      </c>
      <c r="T8" s="1" t="n">
        <f aca="false">AVERAGE(densidade_hab_indL!T20)</f>
        <v>0.22</v>
      </c>
      <c r="U8" s="1" t="n">
        <f aca="false">AVERAGE(densidade_hab_indL!U20)</f>
        <v>0</v>
      </c>
      <c r="V8" s="1" t="n">
        <f aca="false">AVERAGE(densidade_hab_indL!V20)</f>
        <v>0</v>
      </c>
      <c r="W8" s="1" t="n">
        <f aca="false">AVERAGE(densidade_hab_indL!W20)</f>
        <v>0</v>
      </c>
      <c r="X8" s="1" t="n">
        <f aca="false">AVERAGE(densidade_hab_indL!X20)</f>
        <v>0</v>
      </c>
      <c r="Y8" s="1" t="n">
        <f aca="false">AVERAGE(densidade_hab_indL!Y20)</f>
        <v>0</v>
      </c>
      <c r="Z8" s="1" t="n">
        <f aca="false">AVERAGE(densidade_hab_indL!Z20)</f>
        <v>0</v>
      </c>
      <c r="AA8" s="1" t="n">
        <f aca="false">AVERAGE(densidade_hab_indL!AA20)</f>
        <v>0.14</v>
      </c>
      <c r="AB8" s="1" t="n">
        <f aca="false">AVERAGE(densidade_hab_indL!AB20)</f>
        <v>0</v>
      </c>
      <c r="AC8" s="1" t="n">
        <f aca="false">AVERAGE(densidade_hab_indL!AC20)</f>
        <v>0</v>
      </c>
      <c r="AD8" s="1" t="n">
        <f aca="false">AVERAGE(densidade_hab_indL!AD20)</f>
        <v>0.4</v>
      </c>
      <c r="AE8" s="1" t="n">
        <f aca="false">AVERAGE(densidade_hab_indL!AE20)</f>
        <v>0.02</v>
      </c>
      <c r="AF8" s="1" t="n">
        <f aca="false">AVERAGE(densidade_hab_indL!AF20)</f>
        <v>1.16</v>
      </c>
      <c r="AG8" s="1" t="n">
        <f aca="false">AVERAGE(densidade_hab_indL!AG20)</f>
        <v>0</v>
      </c>
      <c r="AH8" s="1" t="n">
        <f aca="false">AVERAGE(densidade_hab_indL!AH20)</f>
        <v>0</v>
      </c>
      <c r="AI8" s="1" t="n">
        <f aca="false">AVERAGE(densidade_hab_indL!AI20)</f>
        <v>0.02</v>
      </c>
      <c r="AJ8" s="1" t="n">
        <f aca="false">AVERAGE(densidade_hab_indL!AJ20)</f>
        <v>0.02</v>
      </c>
      <c r="AK8" s="1" t="n">
        <f aca="false">AVERAGE(densidade_hab_indL!AK20)</f>
        <v>0</v>
      </c>
      <c r="AL8" s="1" t="n">
        <f aca="false">AVERAGE(densidade_hab_indL!AL20)</f>
        <v>0</v>
      </c>
      <c r="AM8" s="1" t="n">
        <f aca="false">AVERAGE(densidade_hab_indL!AM20)</f>
        <v>0</v>
      </c>
      <c r="AN8" s="1" t="n">
        <f aca="false">AVERAGE(densidade_hab_indL!AN20)</f>
        <v>0</v>
      </c>
      <c r="AO8" s="1" t="n">
        <f aca="false">AVERAGE(densidade_hab_indL!AO20)</f>
        <v>0</v>
      </c>
      <c r="AP8" s="1" t="n">
        <f aca="false">AVERAGE(densidade_hab_indL!AP20)</f>
        <v>0</v>
      </c>
      <c r="AQ8" s="1" t="n">
        <f aca="false">AVERAGE(densidade_hab_indL!AQ20)</f>
        <v>0</v>
      </c>
      <c r="AR8" s="1" t="n">
        <f aca="false">AVERAGE(densidade_hab_indL!AR20)</f>
        <v>0.48</v>
      </c>
      <c r="AS8" s="1" t="n">
        <f aca="false">AVERAGE(densidade_hab_indL!AS20)</f>
        <v>0</v>
      </c>
      <c r="AT8" s="1" t="n">
        <f aca="false">AVERAGE(densidade_hab_indL!AT20)</f>
        <v>43.42</v>
      </c>
      <c r="AU8" s="1" t="n">
        <f aca="false">AVERAGE(densidade_hab_indL!AU20)</f>
        <v>0.14</v>
      </c>
      <c r="AV8" s="1" t="n">
        <f aca="false">AVERAGE(densidade_hab_indL!AV20)</f>
        <v>0</v>
      </c>
      <c r="AW8" s="1" t="n">
        <f aca="false">AVERAGE(densidade_hab_indL!AW20)</f>
        <v>0</v>
      </c>
      <c r="AX8" s="1" t="n">
        <f aca="false">AVERAGE(densidade_hab_indL!AX20)</f>
        <v>0.1</v>
      </c>
      <c r="AY8" s="1" t="n">
        <f aca="false">AVERAGE(densidade_hab_indL!AY20)</f>
        <v>0</v>
      </c>
      <c r="AZ8" s="1" t="n">
        <f aca="false">AVERAGE(densidade_hab_indL!AZ20)</f>
        <v>0</v>
      </c>
      <c r="BA8" s="1" t="n">
        <f aca="false">AVERAGE(densidade_hab_indL!BA20)</f>
        <v>0</v>
      </c>
      <c r="BB8" s="1" t="n">
        <f aca="false">AVERAGE(densidade_hab_indL!BB20)</f>
        <v>0</v>
      </c>
      <c r="BC8" s="1" t="n">
        <f aca="false">AVERAGE(densidade_hab_indL!BC20)</f>
        <v>0.04</v>
      </c>
      <c r="BD8" s="1" t="n">
        <f aca="false">AVERAGE(densidade_hab_indL!BD20)</f>
        <v>0</v>
      </c>
      <c r="BE8" s="1" t="n">
        <f aca="false">AVERAGE(densidade_hab_indL!BE20)</f>
        <v>0</v>
      </c>
    </row>
    <row r="9" customFormat="false" ht="12.8" hidden="false" customHeight="false" outlineLevel="0" collapsed="false">
      <c r="A9" s="1" t="s">
        <v>273</v>
      </c>
      <c r="B9" s="1" t="n">
        <f aca="false">AVERAGE(densidade_hab_indL!B23)</f>
        <v>0</v>
      </c>
      <c r="C9" s="1" t="n">
        <f aca="false">AVERAGE(densidade_hab_indL!C23)</f>
        <v>0</v>
      </c>
      <c r="D9" s="1" t="n">
        <f aca="false">AVERAGE(densidade_hab_indL!D23)</f>
        <v>0.24</v>
      </c>
      <c r="E9" s="1" t="n">
        <f aca="false">AVERAGE(densidade_hab_indL!E23)</f>
        <v>0</v>
      </c>
      <c r="F9" s="1" t="n">
        <f aca="false">AVERAGE(densidade_hab_indL!F23)</f>
        <v>11.82</v>
      </c>
      <c r="G9" s="1" t="n">
        <f aca="false">AVERAGE(densidade_hab_indL!G23)</f>
        <v>2.1</v>
      </c>
      <c r="H9" s="1" t="n">
        <f aca="false">AVERAGE(densidade_hab_indL!H23)</f>
        <v>0</v>
      </c>
      <c r="I9" s="1" t="n">
        <f aca="false">AVERAGE(densidade_hab_indL!I23)</f>
        <v>0.78</v>
      </c>
      <c r="J9" s="1" t="n">
        <f aca="false">AVERAGE(densidade_hab_indL!J23)</f>
        <v>0</v>
      </c>
      <c r="K9" s="1" t="n">
        <f aca="false">AVERAGE(densidade_hab_indL!K23)</f>
        <v>0.24</v>
      </c>
      <c r="L9" s="1" t="n">
        <f aca="false">AVERAGE(densidade_hab_indL!L23)</f>
        <v>0</v>
      </c>
      <c r="M9" s="1" t="n">
        <f aca="false">AVERAGE(densidade_hab_indL!M23)</f>
        <v>10.74</v>
      </c>
      <c r="N9" s="1" t="n">
        <f aca="false">AVERAGE(densidade_hab_indL!N23)</f>
        <v>0.06</v>
      </c>
      <c r="O9" s="1" t="n">
        <f aca="false">AVERAGE(densidade_hab_indL!O23)</f>
        <v>0.54</v>
      </c>
      <c r="P9" s="1" t="n">
        <f aca="false">AVERAGE(densidade_hab_indL!P23)</f>
        <v>0</v>
      </c>
      <c r="Q9" s="1" t="n">
        <f aca="false">AVERAGE(densidade_hab_indL!Q23)</f>
        <v>0.06</v>
      </c>
      <c r="R9" s="1" t="n">
        <f aca="false">AVERAGE(densidade_hab_indL!R23)</f>
        <v>0</v>
      </c>
      <c r="S9" s="1" t="n">
        <f aca="false">AVERAGE(densidade_hab_indL!S23)</f>
        <v>0.08</v>
      </c>
      <c r="T9" s="1" t="n">
        <f aca="false">AVERAGE(densidade_hab_indL!T23)</f>
        <v>0.12</v>
      </c>
      <c r="U9" s="1" t="n">
        <f aca="false">AVERAGE(densidade_hab_indL!U23)</f>
        <v>1.56</v>
      </c>
      <c r="V9" s="1" t="n">
        <f aca="false">AVERAGE(densidade_hab_indL!V23)</f>
        <v>0.18</v>
      </c>
      <c r="W9" s="1" t="n">
        <f aca="false">AVERAGE(densidade_hab_indL!W23)</f>
        <v>0</v>
      </c>
      <c r="X9" s="1" t="n">
        <f aca="false">AVERAGE(densidade_hab_indL!X23)</f>
        <v>0</v>
      </c>
      <c r="Y9" s="1" t="n">
        <f aca="false">AVERAGE(densidade_hab_indL!Y23)</f>
        <v>0</v>
      </c>
      <c r="Z9" s="1" t="n">
        <f aca="false">AVERAGE(densidade_hab_indL!Z23)</f>
        <v>0</v>
      </c>
      <c r="AA9" s="1" t="n">
        <f aca="false">AVERAGE(densidade_hab_indL!AA23)</f>
        <v>0.18</v>
      </c>
      <c r="AB9" s="1" t="n">
        <f aca="false">AVERAGE(densidade_hab_indL!AB23)</f>
        <v>0</v>
      </c>
      <c r="AC9" s="1" t="n">
        <f aca="false">AVERAGE(densidade_hab_indL!AC23)</f>
        <v>0</v>
      </c>
      <c r="AD9" s="1" t="n">
        <f aca="false">AVERAGE(densidade_hab_indL!AD23)</f>
        <v>0</v>
      </c>
      <c r="AE9" s="1" t="n">
        <f aca="false">AVERAGE(densidade_hab_indL!AE23)</f>
        <v>0.16</v>
      </c>
      <c r="AF9" s="1" t="n">
        <f aca="false">AVERAGE(densidade_hab_indL!AF23)</f>
        <v>0</v>
      </c>
      <c r="AG9" s="1" t="n">
        <f aca="false">AVERAGE(densidade_hab_indL!AG23)</f>
        <v>0</v>
      </c>
      <c r="AH9" s="1" t="n">
        <f aca="false">AVERAGE(densidade_hab_indL!AH23)</f>
        <v>0</v>
      </c>
      <c r="AI9" s="1" t="n">
        <f aca="false">AVERAGE(densidade_hab_indL!AI23)</f>
        <v>0</v>
      </c>
      <c r="AJ9" s="1" t="n">
        <f aca="false">AVERAGE(densidade_hab_indL!AJ23)</f>
        <v>0.12</v>
      </c>
      <c r="AK9" s="1" t="n">
        <f aca="false">AVERAGE(densidade_hab_indL!AK23)</f>
        <v>0</v>
      </c>
      <c r="AL9" s="1" t="n">
        <f aca="false">AVERAGE(densidade_hab_indL!AL23)</f>
        <v>0</v>
      </c>
      <c r="AM9" s="1" t="n">
        <f aca="false">AVERAGE(densidade_hab_indL!AM23)</f>
        <v>0</v>
      </c>
      <c r="AN9" s="1" t="n">
        <f aca="false">AVERAGE(densidade_hab_indL!AN23)</f>
        <v>0.1</v>
      </c>
      <c r="AO9" s="1" t="n">
        <f aca="false">AVERAGE(densidade_hab_indL!AO23)</f>
        <v>0</v>
      </c>
      <c r="AP9" s="1" t="n">
        <f aca="false">AVERAGE(densidade_hab_indL!AP23)</f>
        <v>0</v>
      </c>
      <c r="AQ9" s="1" t="n">
        <f aca="false">AVERAGE(densidade_hab_indL!AQ23)</f>
        <v>0.04</v>
      </c>
      <c r="AR9" s="1" t="n">
        <f aca="false">AVERAGE(densidade_hab_indL!AR23)</f>
        <v>0</v>
      </c>
      <c r="AS9" s="1" t="n">
        <f aca="false">AVERAGE(densidade_hab_indL!AS23)</f>
        <v>0.14</v>
      </c>
      <c r="AT9" s="1" t="n">
        <f aca="false">AVERAGE(densidade_hab_indL!AT23)</f>
        <v>56.28</v>
      </c>
      <c r="AU9" s="1" t="n">
        <f aca="false">AVERAGE(densidade_hab_indL!AU23)</f>
        <v>1.68</v>
      </c>
      <c r="AV9" s="1" t="n">
        <f aca="false">AVERAGE(densidade_hab_indL!AV23)</f>
        <v>0</v>
      </c>
      <c r="AW9" s="1" t="n">
        <f aca="false">AVERAGE(densidade_hab_indL!AW23)</f>
        <v>0</v>
      </c>
      <c r="AX9" s="1" t="n">
        <f aca="false">AVERAGE(densidade_hab_indL!AX23)</f>
        <v>0</v>
      </c>
      <c r="AY9" s="1" t="n">
        <f aca="false">AVERAGE(densidade_hab_indL!AY23)</f>
        <v>0</v>
      </c>
      <c r="AZ9" s="1" t="n">
        <f aca="false">AVERAGE(densidade_hab_indL!AZ23)</f>
        <v>0</v>
      </c>
      <c r="BA9" s="1" t="n">
        <f aca="false">AVERAGE(densidade_hab_indL!BA23)</f>
        <v>0</v>
      </c>
      <c r="BB9" s="1" t="n">
        <f aca="false">AVERAGE(densidade_hab_indL!BB23)</f>
        <v>1.62</v>
      </c>
      <c r="BC9" s="1" t="n">
        <f aca="false">AVERAGE(densidade_hab_indL!BC23)</f>
        <v>0</v>
      </c>
      <c r="BD9" s="1" t="n">
        <f aca="false">AVERAGE(densidade_hab_indL!BD23)</f>
        <v>0</v>
      </c>
      <c r="BE9" s="1" t="n">
        <f aca="false">AVERAGE(densidade_hab_indL!BE23)</f>
        <v>0</v>
      </c>
    </row>
    <row r="10" customFormat="false" ht="12.8" hidden="false" customHeight="false" outlineLevel="0" collapsed="false">
      <c r="A10" s="1" t="s">
        <v>274</v>
      </c>
      <c r="B10" s="1" t="n">
        <f aca="false">AVERAGE(densidade_hab_indL!B26)</f>
        <v>0</v>
      </c>
      <c r="C10" s="1" t="n">
        <f aca="false">AVERAGE(densidade_hab_indL!C26)</f>
        <v>0</v>
      </c>
      <c r="D10" s="1" t="n">
        <f aca="false">AVERAGE(densidade_hab_indL!D26)</f>
        <v>42.3</v>
      </c>
      <c r="E10" s="1" t="n">
        <f aca="false">AVERAGE(densidade_hab_indL!E26)</f>
        <v>0</v>
      </c>
      <c r="F10" s="1" t="n">
        <f aca="false">AVERAGE(densidade_hab_indL!F26)</f>
        <v>54.72</v>
      </c>
      <c r="G10" s="1" t="n">
        <f aca="false">AVERAGE(densidade_hab_indL!G26)</f>
        <v>0.24</v>
      </c>
      <c r="H10" s="1" t="n">
        <f aca="false">AVERAGE(densidade_hab_indL!H26)</f>
        <v>0</v>
      </c>
      <c r="I10" s="1" t="n">
        <f aca="false">AVERAGE(densidade_hab_indL!I26)</f>
        <v>1.68</v>
      </c>
      <c r="J10" s="1" t="n">
        <f aca="false">AVERAGE(densidade_hab_indL!J26)</f>
        <v>0</v>
      </c>
      <c r="K10" s="1" t="n">
        <f aca="false">AVERAGE(densidade_hab_indL!K26)</f>
        <v>0.42</v>
      </c>
      <c r="L10" s="1" t="n">
        <f aca="false">AVERAGE(densidade_hab_indL!L26)</f>
        <v>0</v>
      </c>
      <c r="M10" s="1" t="n">
        <f aca="false">AVERAGE(densidade_hab_indL!M26)</f>
        <v>3.24</v>
      </c>
      <c r="N10" s="1" t="n">
        <f aca="false">AVERAGE(densidade_hab_indL!N26)</f>
        <v>0</v>
      </c>
      <c r="O10" s="1" t="n">
        <f aca="false">AVERAGE(densidade_hab_indL!O26)</f>
        <v>0.12</v>
      </c>
      <c r="P10" s="1" t="n">
        <f aca="false">AVERAGE(densidade_hab_indL!P26)</f>
        <v>0</v>
      </c>
      <c r="Q10" s="1" t="n">
        <f aca="false">AVERAGE(densidade_hab_indL!Q26)</f>
        <v>0</v>
      </c>
      <c r="R10" s="1" t="n">
        <f aca="false">AVERAGE(densidade_hab_indL!R26)</f>
        <v>0</v>
      </c>
      <c r="S10" s="1" t="n">
        <f aca="false">AVERAGE(densidade_hab_indL!S26)</f>
        <v>0</v>
      </c>
      <c r="T10" s="1" t="n">
        <f aca="false">AVERAGE(densidade_hab_indL!T26)</f>
        <v>59.22</v>
      </c>
      <c r="U10" s="1" t="n">
        <f aca="false">AVERAGE(densidade_hab_indL!U26)</f>
        <v>0.18</v>
      </c>
      <c r="V10" s="1" t="n">
        <f aca="false">AVERAGE(densidade_hab_indL!V26)</f>
        <v>0</v>
      </c>
      <c r="W10" s="1" t="n">
        <f aca="false">AVERAGE(densidade_hab_indL!W26)</f>
        <v>0</v>
      </c>
      <c r="X10" s="1" t="n">
        <f aca="false">AVERAGE(densidade_hab_indL!X26)</f>
        <v>0</v>
      </c>
      <c r="Y10" s="1" t="n">
        <f aca="false">AVERAGE(densidade_hab_indL!Y26)</f>
        <v>0</v>
      </c>
      <c r="Z10" s="1" t="n">
        <f aca="false">AVERAGE(densidade_hab_indL!Z26)</f>
        <v>0.3</v>
      </c>
      <c r="AA10" s="1" t="n">
        <f aca="false">AVERAGE(densidade_hab_indL!AA26)</f>
        <v>4.56</v>
      </c>
      <c r="AB10" s="1" t="n">
        <f aca="false">AVERAGE(densidade_hab_indL!AB26)</f>
        <v>0</v>
      </c>
      <c r="AC10" s="1" t="n">
        <f aca="false">AVERAGE(densidade_hab_indL!AC26)</f>
        <v>0</v>
      </c>
      <c r="AD10" s="1" t="n">
        <f aca="false">AVERAGE(densidade_hab_indL!AD26)</f>
        <v>0.16</v>
      </c>
      <c r="AE10" s="1" t="n">
        <f aca="false">AVERAGE(densidade_hab_indL!AE26)</f>
        <v>0</v>
      </c>
      <c r="AF10" s="1" t="n">
        <f aca="false">AVERAGE(densidade_hab_indL!AF26)</f>
        <v>0.46</v>
      </c>
      <c r="AG10" s="1" t="n">
        <f aca="false">AVERAGE(densidade_hab_indL!AG26)</f>
        <v>0</v>
      </c>
      <c r="AH10" s="1" t="n">
        <f aca="false">AVERAGE(densidade_hab_indL!AH26)</f>
        <v>0</v>
      </c>
      <c r="AI10" s="1" t="n">
        <f aca="false">AVERAGE(densidade_hab_indL!AI26)</f>
        <v>0</v>
      </c>
      <c r="AJ10" s="1" t="n">
        <f aca="false">AVERAGE(densidade_hab_indL!AJ26)</f>
        <v>0.12</v>
      </c>
      <c r="AK10" s="1" t="n">
        <f aca="false">AVERAGE(densidade_hab_indL!AK26)</f>
        <v>0</v>
      </c>
      <c r="AL10" s="1" t="n">
        <f aca="false">AVERAGE(densidade_hab_indL!AL26)</f>
        <v>0</v>
      </c>
      <c r="AM10" s="1" t="n">
        <f aca="false">AVERAGE(densidade_hab_indL!AM26)</f>
        <v>0</v>
      </c>
      <c r="AN10" s="1" t="n">
        <f aca="false">AVERAGE(densidade_hab_indL!AN26)</f>
        <v>0</v>
      </c>
      <c r="AO10" s="1" t="n">
        <f aca="false">AVERAGE(densidade_hab_indL!AO26)</f>
        <v>0</v>
      </c>
      <c r="AP10" s="1" t="n">
        <f aca="false">AVERAGE(densidade_hab_indL!AP26)</f>
        <v>0</v>
      </c>
      <c r="AQ10" s="1" t="n">
        <f aca="false">AVERAGE(densidade_hab_indL!AQ26)</f>
        <v>0</v>
      </c>
      <c r="AR10" s="1" t="n">
        <f aca="false">AVERAGE(densidade_hab_indL!AR26)</f>
        <v>0</v>
      </c>
      <c r="AS10" s="1" t="n">
        <f aca="false">AVERAGE(densidade_hab_indL!AS26)</f>
        <v>0</v>
      </c>
      <c r="AT10" s="1" t="n">
        <f aca="false">AVERAGE(densidade_hab_indL!AT26)</f>
        <v>5.4</v>
      </c>
      <c r="AU10" s="1" t="n">
        <f aca="false">AVERAGE(densidade_hab_indL!AU26)</f>
        <v>0.08</v>
      </c>
      <c r="AV10" s="1" t="n">
        <f aca="false">AVERAGE(densidade_hab_indL!AV26)</f>
        <v>0</v>
      </c>
      <c r="AW10" s="1" t="n">
        <f aca="false">AVERAGE(densidade_hab_indL!AW26)</f>
        <v>0</v>
      </c>
      <c r="AX10" s="1" t="n">
        <f aca="false">AVERAGE(densidade_hab_indL!AX26)</f>
        <v>0</v>
      </c>
      <c r="AY10" s="1" t="n">
        <f aca="false">AVERAGE(densidade_hab_indL!AY26)</f>
        <v>0</v>
      </c>
      <c r="AZ10" s="1" t="n">
        <f aca="false">AVERAGE(densidade_hab_indL!AZ26)</f>
        <v>0</v>
      </c>
      <c r="BA10" s="1" t="n">
        <f aca="false">AVERAGE(densidade_hab_indL!BA26)</f>
        <v>0</v>
      </c>
      <c r="BB10" s="1" t="n">
        <f aca="false">AVERAGE(densidade_hab_indL!BB26)</f>
        <v>0.22</v>
      </c>
      <c r="BC10" s="1" t="n">
        <f aca="false">AVERAGE(densidade_hab_indL!BC26)</f>
        <v>0</v>
      </c>
      <c r="BD10" s="1" t="n">
        <f aca="false">AVERAGE(densidade_hab_indL!BD26)</f>
        <v>0</v>
      </c>
      <c r="BE10" s="1" t="n">
        <f aca="false">AVERAGE(densidade_hab_indL!BE26)</f>
        <v>0</v>
      </c>
    </row>
    <row r="11" customFormat="false" ht="12.8" hidden="false" customHeight="false" outlineLevel="0" collapsed="false">
      <c r="A11" s="1" t="s">
        <v>275</v>
      </c>
      <c r="B11" s="18" t="n">
        <f aca="false">AVERAGE(densidade_hab_indL!B29:B31)</f>
        <v>0</v>
      </c>
      <c r="C11" s="18" t="n">
        <f aca="false">AVERAGE(densidade_hab_indL!C29:C31)</f>
        <v>0</v>
      </c>
      <c r="D11" s="18" t="n">
        <f aca="false">AVERAGE(densidade_hab_indL!D29:D31)</f>
        <v>1.20666666666667</v>
      </c>
      <c r="E11" s="18" t="n">
        <f aca="false">AVERAGE(densidade_hab_indL!E29:E31)</f>
        <v>0</v>
      </c>
      <c r="F11" s="18" t="n">
        <f aca="false">AVERAGE(densidade_hab_indL!F29:F31)</f>
        <v>0.0466666666666667</v>
      </c>
      <c r="G11" s="18" t="n">
        <f aca="false">AVERAGE(densidade_hab_indL!G29:G31)</f>
        <v>0</v>
      </c>
      <c r="H11" s="18" t="n">
        <f aca="false">AVERAGE(densidade_hab_indL!H29:H31)</f>
        <v>0</v>
      </c>
      <c r="I11" s="18" t="n">
        <f aca="false">AVERAGE(densidade_hab_indL!I29:I31)</f>
        <v>0.0533333333333333</v>
      </c>
      <c r="J11" s="18" t="n">
        <f aca="false">AVERAGE(densidade_hab_indL!J29:J31)</f>
        <v>0</v>
      </c>
      <c r="K11" s="18" t="n">
        <f aca="false">AVERAGE(densidade_hab_indL!K29:K31)</f>
        <v>0.0666666666666667</v>
      </c>
      <c r="L11" s="18" t="n">
        <f aca="false">AVERAGE(densidade_hab_indL!L29:L31)</f>
        <v>0</v>
      </c>
      <c r="M11" s="18" t="n">
        <f aca="false">AVERAGE(densidade_hab_indL!M29:M31)</f>
        <v>1.54</v>
      </c>
      <c r="N11" s="18" t="n">
        <f aca="false">AVERAGE(densidade_hab_indL!N29:N31)</f>
        <v>0</v>
      </c>
      <c r="O11" s="18" t="n">
        <f aca="false">AVERAGE(densidade_hab_indL!O29:O31)</f>
        <v>0.00666666666666667</v>
      </c>
      <c r="P11" s="18" t="n">
        <f aca="false">AVERAGE(densidade_hab_indL!P29:P31)</f>
        <v>0</v>
      </c>
      <c r="Q11" s="18" t="n">
        <f aca="false">AVERAGE(densidade_hab_indL!Q29:Q31)</f>
        <v>0</v>
      </c>
      <c r="R11" s="18" t="n">
        <f aca="false">AVERAGE(densidade_hab_indL!R29:R31)</f>
        <v>0</v>
      </c>
      <c r="S11" s="18" t="n">
        <f aca="false">AVERAGE(densidade_hab_indL!S29:S31)</f>
        <v>0</v>
      </c>
      <c r="T11" s="18" t="n">
        <f aca="false">AVERAGE(densidade_hab_indL!T29:T31)</f>
        <v>0.213333333333333</v>
      </c>
      <c r="U11" s="18" t="n">
        <f aca="false">AVERAGE(densidade_hab_indL!U29:U31)</f>
        <v>0.0533333333333333</v>
      </c>
      <c r="V11" s="18" t="n">
        <f aca="false">AVERAGE(densidade_hab_indL!V29:V31)</f>
        <v>0</v>
      </c>
      <c r="W11" s="18" t="n">
        <f aca="false">AVERAGE(densidade_hab_indL!W29:W31)</f>
        <v>0</v>
      </c>
      <c r="X11" s="18" t="n">
        <f aca="false">AVERAGE(densidade_hab_indL!X29:X31)</f>
        <v>0</v>
      </c>
      <c r="Y11" s="18" t="n">
        <f aca="false">AVERAGE(densidade_hab_indL!Y29:Y31)</f>
        <v>0</v>
      </c>
      <c r="Z11" s="18" t="n">
        <f aca="false">AVERAGE(densidade_hab_indL!Z29:Z31)</f>
        <v>0</v>
      </c>
      <c r="AA11" s="18" t="n">
        <f aca="false">AVERAGE(densidade_hab_indL!AA29:AA31)</f>
        <v>0.833333333333333</v>
      </c>
      <c r="AB11" s="18" t="n">
        <f aca="false">AVERAGE(densidade_hab_indL!AB29:AB31)</f>
        <v>0</v>
      </c>
      <c r="AC11" s="18" t="n">
        <f aca="false">AVERAGE(densidade_hab_indL!AC29:AC31)</f>
        <v>0</v>
      </c>
      <c r="AD11" s="18" t="n">
        <f aca="false">AVERAGE(densidade_hab_indL!AD29:AD31)</f>
        <v>0.02</v>
      </c>
      <c r="AE11" s="18" t="n">
        <f aca="false">AVERAGE(densidade_hab_indL!AE29:AE31)</f>
        <v>0</v>
      </c>
      <c r="AF11" s="18" t="n">
        <f aca="false">AVERAGE(densidade_hab_indL!AF29:AF31)</f>
        <v>0</v>
      </c>
      <c r="AG11" s="18" t="n">
        <f aca="false">AVERAGE(densidade_hab_indL!AG29:AG31)</f>
        <v>0</v>
      </c>
      <c r="AH11" s="18" t="n">
        <f aca="false">AVERAGE(densidade_hab_indL!AH29:AH31)</f>
        <v>0</v>
      </c>
      <c r="AI11" s="18" t="n">
        <f aca="false">AVERAGE(densidade_hab_indL!AI29:AI31)</f>
        <v>0</v>
      </c>
      <c r="AJ11" s="18" t="n">
        <f aca="false">AVERAGE(densidade_hab_indL!AJ29:AJ31)</f>
        <v>0</v>
      </c>
      <c r="AK11" s="18" t="n">
        <f aca="false">AVERAGE(densidade_hab_indL!AK29:AK31)</f>
        <v>0</v>
      </c>
      <c r="AL11" s="18" t="n">
        <f aca="false">AVERAGE(densidade_hab_indL!AL29:AL31)</f>
        <v>0</v>
      </c>
      <c r="AM11" s="18" t="n">
        <f aca="false">AVERAGE(densidade_hab_indL!AM29:AM31)</f>
        <v>0</v>
      </c>
      <c r="AN11" s="18" t="n">
        <f aca="false">AVERAGE(densidade_hab_indL!AN29:AN31)</f>
        <v>0</v>
      </c>
      <c r="AO11" s="18" t="n">
        <f aca="false">AVERAGE(densidade_hab_indL!AO29:AO31)</f>
        <v>0</v>
      </c>
      <c r="AP11" s="18" t="n">
        <f aca="false">AVERAGE(densidade_hab_indL!AP29:AP31)</f>
        <v>0</v>
      </c>
      <c r="AQ11" s="18" t="n">
        <f aca="false">AVERAGE(densidade_hab_indL!AQ29:AQ31)</f>
        <v>0</v>
      </c>
      <c r="AR11" s="18" t="n">
        <f aca="false">AVERAGE(densidade_hab_indL!AR29:AR31)</f>
        <v>0.00666666666666667</v>
      </c>
      <c r="AS11" s="18" t="n">
        <f aca="false">AVERAGE(densidade_hab_indL!AS29:AS31)</f>
        <v>0</v>
      </c>
      <c r="AT11" s="18" t="n">
        <f aca="false">AVERAGE(densidade_hab_indL!AT29:AT31)</f>
        <v>5.00666666666667</v>
      </c>
      <c r="AU11" s="18" t="n">
        <f aca="false">AVERAGE(densidade_hab_indL!AU29:AU31)</f>
        <v>0</v>
      </c>
      <c r="AV11" s="18" t="n">
        <f aca="false">AVERAGE(densidade_hab_indL!AV29:AV31)</f>
        <v>0</v>
      </c>
      <c r="AW11" s="18" t="n">
        <f aca="false">AVERAGE(densidade_hab_indL!AW29:AW31)</f>
        <v>0</v>
      </c>
      <c r="AX11" s="18" t="n">
        <f aca="false">AVERAGE(densidade_hab_indL!AX29:AX31)</f>
        <v>0</v>
      </c>
      <c r="AY11" s="18" t="n">
        <f aca="false">AVERAGE(densidade_hab_indL!AY29:AY31)</f>
        <v>0</v>
      </c>
      <c r="AZ11" s="18" t="n">
        <f aca="false">AVERAGE(densidade_hab_indL!AZ29:AZ31)</f>
        <v>0</v>
      </c>
      <c r="BA11" s="18" t="n">
        <f aca="false">AVERAGE(densidade_hab_indL!BA29:BA31)</f>
        <v>0</v>
      </c>
      <c r="BB11" s="18" t="n">
        <f aca="false">AVERAGE(densidade_hab_indL!BB29:BB31)</f>
        <v>0.653333333333333</v>
      </c>
      <c r="BC11" s="18" t="n">
        <f aca="false">AVERAGE(densidade_hab_indL!BC29:BC31)</f>
        <v>0.00666666666666667</v>
      </c>
      <c r="BD11" s="18" t="n">
        <f aca="false">AVERAGE(densidade_hab_indL!BD29:BD31)</f>
        <v>0</v>
      </c>
      <c r="BE11" s="18" t="n">
        <f aca="false">AVERAGE(densidade_hab_indL!BE29:BE31)</f>
        <v>0</v>
      </c>
    </row>
    <row r="12" customFormat="false" ht="12.8" hidden="false" customHeight="false" outlineLevel="0" collapsed="false">
      <c r="A12" s="1" t="s">
        <v>276</v>
      </c>
      <c r="B12" s="18" t="n">
        <f aca="false">AVERAGE(densidade_hab_indL!B32:B34)</f>
        <v>0</v>
      </c>
      <c r="C12" s="18" t="n">
        <f aca="false">AVERAGE(densidade_hab_indL!C32:C34)</f>
        <v>0</v>
      </c>
      <c r="D12" s="18" t="n">
        <f aca="false">AVERAGE(densidade_hab_indL!D32:D34)</f>
        <v>0.26</v>
      </c>
      <c r="E12" s="18" t="n">
        <f aca="false">AVERAGE(densidade_hab_indL!E32:E34)</f>
        <v>0</v>
      </c>
      <c r="F12" s="18" t="n">
        <f aca="false">AVERAGE(densidade_hab_indL!F32:F34)</f>
        <v>0.00666666666666667</v>
      </c>
      <c r="G12" s="18" t="n">
        <f aca="false">AVERAGE(densidade_hab_indL!G32:G34)</f>
        <v>0.04</v>
      </c>
      <c r="H12" s="18" t="n">
        <f aca="false">AVERAGE(densidade_hab_indL!H32:H34)</f>
        <v>0.0133333333333333</v>
      </c>
      <c r="I12" s="18" t="n">
        <f aca="false">AVERAGE(densidade_hab_indL!I32:I34)</f>
        <v>0.04</v>
      </c>
      <c r="J12" s="18" t="n">
        <f aca="false">AVERAGE(densidade_hab_indL!J32:J34)</f>
        <v>0.00666666666666667</v>
      </c>
      <c r="K12" s="18" t="n">
        <f aca="false">AVERAGE(densidade_hab_indL!K32:K34)</f>
        <v>0.0333333333333333</v>
      </c>
      <c r="L12" s="18" t="n">
        <f aca="false">AVERAGE(densidade_hab_indL!L32:L34)</f>
        <v>0</v>
      </c>
      <c r="M12" s="18" t="n">
        <f aca="false">AVERAGE(densidade_hab_indL!M32:M34)</f>
        <v>2.16</v>
      </c>
      <c r="N12" s="18" t="n">
        <f aca="false">AVERAGE(densidade_hab_indL!N32:N34)</f>
        <v>0.02</v>
      </c>
      <c r="O12" s="18" t="n">
        <f aca="false">AVERAGE(densidade_hab_indL!O32:O34)</f>
        <v>0.153333333333333</v>
      </c>
      <c r="P12" s="18" t="n">
        <f aca="false">AVERAGE(densidade_hab_indL!P32:P34)</f>
        <v>0</v>
      </c>
      <c r="Q12" s="18" t="n">
        <f aca="false">AVERAGE(densidade_hab_indL!Q32:Q34)</f>
        <v>0</v>
      </c>
      <c r="R12" s="18" t="n">
        <f aca="false">AVERAGE(densidade_hab_indL!R32:R34)</f>
        <v>0</v>
      </c>
      <c r="S12" s="18" t="n">
        <f aca="false">AVERAGE(densidade_hab_indL!S32:S34)</f>
        <v>0</v>
      </c>
      <c r="T12" s="18" t="n">
        <f aca="false">AVERAGE(densidade_hab_indL!T32:T34)</f>
        <v>0.0533333333333333</v>
      </c>
      <c r="U12" s="18" t="n">
        <f aca="false">AVERAGE(densidade_hab_indL!U32:U34)</f>
        <v>0.28</v>
      </c>
      <c r="V12" s="18" t="n">
        <f aca="false">AVERAGE(densidade_hab_indL!V32:V34)</f>
        <v>0.0133333333333333</v>
      </c>
      <c r="W12" s="18" t="n">
        <f aca="false">AVERAGE(densidade_hab_indL!W32:W34)</f>
        <v>0</v>
      </c>
      <c r="X12" s="18" t="n">
        <f aca="false">AVERAGE(densidade_hab_indL!X32:X34)</f>
        <v>0</v>
      </c>
      <c r="Y12" s="18" t="n">
        <f aca="false">AVERAGE(densidade_hab_indL!Y32:Y34)</f>
        <v>0</v>
      </c>
      <c r="Z12" s="18" t="n">
        <f aca="false">AVERAGE(densidade_hab_indL!Z32:Z34)</f>
        <v>0</v>
      </c>
      <c r="AA12" s="18" t="n">
        <f aca="false">AVERAGE(densidade_hab_indL!AA32:AA34)</f>
        <v>0.193333333333333</v>
      </c>
      <c r="AB12" s="18" t="n">
        <f aca="false">AVERAGE(densidade_hab_indL!AB32:AB34)</f>
        <v>0</v>
      </c>
      <c r="AC12" s="18" t="n">
        <f aca="false">AVERAGE(densidade_hab_indL!AC32:AC34)</f>
        <v>0</v>
      </c>
      <c r="AD12" s="18" t="n">
        <f aca="false">AVERAGE(densidade_hab_indL!AD32:AD34)</f>
        <v>0.0866666666666667</v>
      </c>
      <c r="AE12" s="18" t="n">
        <f aca="false">AVERAGE(densidade_hab_indL!AE32:AE34)</f>
        <v>0.0266666666666667</v>
      </c>
      <c r="AF12" s="18" t="n">
        <f aca="false">AVERAGE(densidade_hab_indL!AF32:AF34)</f>
        <v>0.02</v>
      </c>
      <c r="AG12" s="18" t="n">
        <f aca="false">AVERAGE(densidade_hab_indL!AG32:AG34)</f>
        <v>0</v>
      </c>
      <c r="AH12" s="18" t="n">
        <f aca="false">AVERAGE(densidade_hab_indL!AH32:AH34)</f>
        <v>0.0933333333333333</v>
      </c>
      <c r="AI12" s="18" t="n">
        <f aca="false">AVERAGE(densidade_hab_indL!AI32:AI34)</f>
        <v>0.0333333333333333</v>
      </c>
      <c r="AJ12" s="18" t="n">
        <f aca="false">AVERAGE(densidade_hab_indL!AJ32:AJ34)</f>
        <v>0.0466666666666667</v>
      </c>
      <c r="AK12" s="18" t="n">
        <f aca="false">AVERAGE(densidade_hab_indL!AK32:AK34)</f>
        <v>0</v>
      </c>
      <c r="AL12" s="18" t="n">
        <f aca="false">AVERAGE(densidade_hab_indL!AL32:AL34)</f>
        <v>0</v>
      </c>
      <c r="AM12" s="18" t="n">
        <f aca="false">AVERAGE(densidade_hab_indL!AM32:AM34)</f>
        <v>0.0133333333333333</v>
      </c>
      <c r="AN12" s="18" t="n">
        <f aca="false">AVERAGE(densidade_hab_indL!AN32:AN34)</f>
        <v>0</v>
      </c>
      <c r="AO12" s="18" t="n">
        <f aca="false">AVERAGE(densidade_hab_indL!AO32:AO34)</f>
        <v>0.00666666666666667</v>
      </c>
      <c r="AP12" s="18" t="n">
        <f aca="false">AVERAGE(densidade_hab_indL!AP32:AP34)</f>
        <v>0</v>
      </c>
      <c r="AQ12" s="18" t="n">
        <f aca="false">AVERAGE(densidade_hab_indL!AQ32:AQ34)</f>
        <v>0</v>
      </c>
      <c r="AR12" s="18" t="n">
        <f aca="false">AVERAGE(densidade_hab_indL!AR32:AR34)</f>
        <v>0.246666666666667</v>
      </c>
      <c r="AS12" s="18" t="n">
        <f aca="false">AVERAGE(densidade_hab_indL!AS32:AS34)</f>
        <v>0.52</v>
      </c>
      <c r="AT12" s="18" t="n">
        <f aca="false">AVERAGE(densidade_hab_indL!AT32:AT34)</f>
        <v>22.9133333333333</v>
      </c>
      <c r="AU12" s="18" t="n">
        <f aca="false">AVERAGE(densidade_hab_indL!AU32:AU34)</f>
        <v>0</v>
      </c>
      <c r="AV12" s="18" t="n">
        <f aca="false">AVERAGE(densidade_hab_indL!AV32:AV34)</f>
        <v>0.0133333333333333</v>
      </c>
      <c r="AW12" s="18" t="n">
        <f aca="false">AVERAGE(densidade_hab_indL!AW32:AW34)</f>
        <v>0.02</v>
      </c>
      <c r="AX12" s="18" t="n">
        <f aca="false">AVERAGE(densidade_hab_indL!AX32:AX34)</f>
        <v>0.286666666666667</v>
      </c>
      <c r="AY12" s="18" t="n">
        <f aca="false">AVERAGE(densidade_hab_indL!AY32:AY34)</f>
        <v>0.446666666666667</v>
      </c>
      <c r="AZ12" s="18" t="n">
        <f aca="false">AVERAGE(densidade_hab_indL!AZ32:AZ34)</f>
        <v>0</v>
      </c>
      <c r="BA12" s="18" t="n">
        <f aca="false">AVERAGE(densidade_hab_indL!BA32:BA34)</f>
        <v>0.433333333333333</v>
      </c>
      <c r="BB12" s="18" t="n">
        <f aca="false">AVERAGE(densidade_hab_indL!BB32:BB34)</f>
        <v>0.08</v>
      </c>
      <c r="BC12" s="18" t="n">
        <f aca="false">AVERAGE(densidade_hab_indL!BC32:BC34)</f>
        <v>0.74</v>
      </c>
      <c r="BD12" s="18" t="n">
        <f aca="false">AVERAGE(densidade_hab_indL!BD32:BD34)</f>
        <v>0.0133333333333333</v>
      </c>
      <c r="BE12" s="18" t="n">
        <f aca="false">AVERAGE(densidade_hab_indL!BE32:BE34)</f>
        <v>0.00666666666666667</v>
      </c>
    </row>
    <row r="13" customFormat="false" ht="12.8" hidden="false" customHeight="false" outlineLevel="0" collapsed="false">
      <c r="A13" s="1" t="s">
        <v>277</v>
      </c>
      <c r="B13" s="18" t="n">
        <f aca="false">AVERAGE(densidade_hab_indL!B35:B37)</f>
        <v>0.00666666666666667</v>
      </c>
      <c r="C13" s="18" t="n">
        <f aca="false">AVERAGE(densidade_hab_indL!C35:C37)</f>
        <v>0</v>
      </c>
      <c r="D13" s="18" t="n">
        <f aca="false">AVERAGE(densidade_hab_indL!D35:D37)</f>
        <v>0.106666666666667</v>
      </c>
      <c r="E13" s="18" t="n">
        <f aca="false">AVERAGE(densidade_hab_indL!E35:E37)</f>
        <v>1.03333333333333</v>
      </c>
      <c r="F13" s="18" t="n">
        <f aca="false">AVERAGE(densidade_hab_indL!F35:F37)</f>
        <v>0.306666666666667</v>
      </c>
      <c r="G13" s="18" t="n">
        <f aca="false">AVERAGE(densidade_hab_indL!G35:G37)</f>
        <v>0.0733333333333333</v>
      </c>
      <c r="H13" s="18" t="n">
        <f aca="false">AVERAGE(densidade_hab_indL!H35:H37)</f>
        <v>1.95333333333333</v>
      </c>
      <c r="I13" s="18" t="n">
        <f aca="false">AVERAGE(densidade_hab_indL!I35:I37)</f>
        <v>0.0133333333333333</v>
      </c>
      <c r="J13" s="18" t="n">
        <f aca="false">AVERAGE(densidade_hab_indL!J35:J37)</f>
        <v>0.546666666666667</v>
      </c>
      <c r="K13" s="18" t="n">
        <f aca="false">AVERAGE(densidade_hab_indL!K35:K37)</f>
        <v>0.0933333333333333</v>
      </c>
      <c r="L13" s="18" t="n">
        <f aca="false">AVERAGE(densidade_hab_indL!L35:L37)</f>
        <v>0</v>
      </c>
      <c r="M13" s="18" t="n">
        <f aca="false">AVERAGE(densidade_hab_indL!M35:M37)</f>
        <v>0.146666666666667</v>
      </c>
      <c r="N13" s="18" t="n">
        <f aca="false">AVERAGE(densidade_hab_indL!N35:N37)</f>
        <v>0</v>
      </c>
      <c r="O13" s="18" t="n">
        <f aca="false">AVERAGE(densidade_hab_indL!O35:O37)</f>
        <v>0.0133333333333333</v>
      </c>
      <c r="P13" s="18" t="n">
        <f aca="false">AVERAGE(densidade_hab_indL!P35:P37)</f>
        <v>0.00666666666666667</v>
      </c>
      <c r="Q13" s="18" t="n">
        <f aca="false">AVERAGE(densidade_hab_indL!Q35:Q37)</f>
        <v>0</v>
      </c>
      <c r="R13" s="18" t="n">
        <f aca="false">AVERAGE(densidade_hab_indL!R35:R37)</f>
        <v>0</v>
      </c>
      <c r="S13" s="18" t="n">
        <f aca="false">AVERAGE(densidade_hab_indL!S35:S37)</f>
        <v>0</v>
      </c>
      <c r="T13" s="18" t="n">
        <f aca="false">AVERAGE(densidade_hab_indL!T35:T37)</f>
        <v>0.0133333333333333</v>
      </c>
      <c r="U13" s="18" t="n">
        <f aca="false">AVERAGE(densidade_hab_indL!U35:U37)</f>
        <v>4.82</v>
      </c>
      <c r="V13" s="18" t="n">
        <f aca="false">AVERAGE(densidade_hab_indL!V35:V37)</f>
        <v>0</v>
      </c>
      <c r="W13" s="18" t="n">
        <f aca="false">AVERAGE(densidade_hab_indL!W35:W37)</f>
        <v>0</v>
      </c>
      <c r="X13" s="18" t="n">
        <f aca="false">AVERAGE(densidade_hab_indL!X35:X37)</f>
        <v>0</v>
      </c>
      <c r="Y13" s="18" t="n">
        <f aca="false">AVERAGE(densidade_hab_indL!Y35:Y37)</f>
        <v>0.06</v>
      </c>
      <c r="Z13" s="18" t="n">
        <f aca="false">AVERAGE(densidade_hab_indL!Z35:Z37)</f>
        <v>0.08</v>
      </c>
      <c r="AA13" s="18" t="n">
        <f aca="false">AVERAGE(densidade_hab_indL!AA35:AA37)</f>
        <v>1.25333333333333</v>
      </c>
      <c r="AB13" s="18" t="n">
        <f aca="false">AVERAGE(densidade_hab_indL!AB35:AB37)</f>
        <v>0</v>
      </c>
      <c r="AC13" s="18" t="n">
        <f aca="false">AVERAGE(densidade_hab_indL!AC35:AC37)</f>
        <v>0</v>
      </c>
      <c r="AD13" s="18" t="n">
        <f aca="false">AVERAGE(densidade_hab_indL!AD35:AD37)</f>
        <v>0.0333333333333333</v>
      </c>
      <c r="AE13" s="18" t="n">
        <f aca="false">AVERAGE(densidade_hab_indL!AE35:AE37)</f>
        <v>0</v>
      </c>
      <c r="AF13" s="18" t="n">
        <f aca="false">AVERAGE(densidade_hab_indL!AF35:AF37)</f>
        <v>0.0133333333333333</v>
      </c>
      <c r="AG13" s="18" t="n">
        <f aca="false">AVERAGE(densidade_hab_indL!AG35:AG37)</f>
        <v>0</v>
      </c>
      <c r="AH13" s="18" t="n">
        <f aca="false">AVERAGE(densidade_hab_indL!AH35:AH37)</f>
        <v>0.0133333333333333</v>
      </c>
      <c r="AI13" s="18" t="n">
        <f aca="false">AVERAGE(densidade_hab_indL!AI35:AI37)</f>
        <v>0.0133333333333333</v>
      </c>
      <c r="AJ13" s="18" t="n">
        <f aca="false">AVERAGE(densidade_hab_indL!AJ35:AJ37)</f>
        <v>0.0133333333333333</v>
      </c>
      <c r="AK13" s="18" t="n">
        <f aca="false">AVERAGE(densidade_hab_indL!AK35:AK37)</f>
        <v>0</v>
      </c>
      <c r="AL13" s="18" t="n">
        <f aca="false">AVERAGE(densidade_hab_indL!AL35:AL37)</f>
        <v>0</v>
      </c>
      <c r="AM13" s="18" t="n">
        <f aca="false">AVERAGE(densidade_hab_indL!AM35:AM37)</f>
        <v>0</v>
      </c>
      <c r="AN13" s="18" t="n">
        <f aca="false">AVERAGE(densidade_hab_indL!AN35:AN37)</f>
        <v>0</v>
      </c>
      <c r="AO13" s="18" t="n">
        <f aca="false">AVERAGE(densidade_hab_indL!AO35:AO37)</f>
        <v>0</v>
      </c>
      <c r="AP13" s="18" t="n">
        <f aca="false">AVERAGE(densidade_hab_indL!AP35:AP37)</f>
        <v>0</v>
      </c>
      <c r="AQ13" s="18" t="n">
        <f aca="false">AVERAGE(densidade_hab_indL!AQ35:AQ37)</f>
        <v>0</v>
      </c>
      <c r="AR13" s="18" t="n">
        <f aca="false">AVERAGE(densidade_hab_indL!AR35:AR37)</f>
        <v>0.02</v>
      </c>
      <c r="AS13" s="18" t="n">
        <f aca="false">AVERAGE(densidade_hab_indL!AS35:AS37)</f>
        <v>0</v>
      </c>
      <c r="AT13" s="18" t="n">
        <f aca="false">AVERAGE(densidade_hab_indL!AT35:AT37)</f>
        <v>1.03333333333333</v>
      </c>
      <c r="AU13" s="18" t="n">
        <f aca="false">AVERAGE(densidade_hab_indL!AU35:AU37)</f>
        <v>0</v>
      </c>
      <c r="AV13" s="18" t="n">
        <f aca="false">AVERAGE(densidade_hab_indL!AV35:AV37)</f>
        <v>0</v>
      </c>
      <c r="AW13" s="18" t="n">
        <f aca="false">AVERAGE(densidade_hab_indL!AW35:AW37)</f>
        <v>0</v>
      </c>
      <c r="AX13" s="18" t="n">
        <f aca="false">AVERAGE(densidade_hab_indL!AX35:AX37)</f>
        <v>0.46</v>
      </c>
      <c r="AY13" s="18" t="n">
        <f aca="false">AVERAGE(densidade_hab_indL!AY35:AY37)</f>
        <v>0.106666666666667</v>
      </c>
      <c r="AZ13" s="18" t="n">
        <f aca="false">AVERAGE(densidade_hab_indL!AZ35:AZ37)</f>
        <v>0.00666666666666667</v>
      </c>
      <c r="BA13" s="18" t="n">
        <f aca="false">AVERAGE(densidade_hab_indL!BA35:BA37)</f>
        <v>0.113333333333333</v>
      </c>
      <c r="BB13" s="18" t="n">
        <f aca="false">AVERAGE(densidade_hab_indL!BB35:BB37)</f>
        <v>0.08</v>
      </c>
      <c r="BC13" s="18" t="n">
        <f aca="false">AVERAGE(densidade_hab_indL!BC35:BC37)</f>
        <v>0.113333333333333</v>
      </c>
      <c r="BD13" s="18" t="n">
        <f aca="false">AVERAGE(densidade_hab_indL!BD35:BD37)</f>
        <v>0.0133333333333333</v>
      </c>
      <c r="BE13" s="18" t="n">
        <f aca="false">AVERAGE(densidade_hab_indL!BE35:BE37)</f>
        <v>0</v>
      </c>
    </row>
    <row r="14" customFormat="false" ht="12.8" hidden="false" customHeight="false" outlineLevel="0" collapsed="false">
      <c r="A14" s="1" t="s">
        <v>278</v>
      </c>
      <c r="B14" s="18" t="n">
        <f aca="false">AVERAGE(densidade_hab_indL!B38:B40)</f>
        <v>0</v>
      </c>
      <c r="C14" s="18" t="n">
        <f aca="false">AVERAGE(densidade_hab_indL!C38:C40)</f>
        <v>0</v>
      </c>
      <c r="D14" s="18" t="n">
        <f aca="false">AVERAGE(densidade_hab_indL!D38:D40)</f>
        <v>0.14</v>
      </c>
      <c r="E14" s="18" t="n">
        <f aca="false">AVERAGE(densidade_hab_indL!E38:E40)</f>
        <v>1.02</v>
      </c>
      <c r="F14" s="18" t="n">
        <f aca="false">AVERAGE(densidade_hab_indL!F38:F40)</f>
        <v>0.273333333333333</v>
      </c>
      <c r="G14" s="18" t="n">
        <f aca="false">AVERAGE(densidade_hab_indL!G38:G40)</f>
        <v>0.0533333333333333</v>
      </c>
      <c r="H14" s="18" t="n">
        <f aca="false">AVERAGE(densidade_hab_indL!H38:H40)</f>
        <v>1.39333333333333</v>
      </c>
      <c r="I14" s="18" t="n">
        <f aca="false">AVERAGE(densidade_hab_indL!I38:I40)</f>
        <v>0.02</v>
      </c>
      <c r="J14" s="18" t="n">
        <f aca="false">AVERAGE(densidade_hab_indL!J38:J40)</f>
        <v>0.366666666666667</v>
      </c>
      <c r="K14" s="18" t="n">
        <f aca="false">AVERAGE(densidade_hab_indL!K38:K40)</f>
        <v>0.0933333333333333</v>
      </c>
      <c r="L14" s="18" t="n">
        <f aca="false">AVERAGE(densidade_hab_indL!L38:L40)</f>
        <v>0</v>
      </c>
      <c r="M14" s="18" t="n">
        <f aca="false">AVERAGE(densidade_hab_indL!M38:M40)</f>
        <v>0.0533333333333333</v>
      </c>
      <c r="N14" s="18" t="n">
        <f aca="false">AVERAGE(densidade_hab_indL!N38:N40)</f>
        <v>0</v>
      </c>
      <c r="O14" s="18" t="n">
        <f aca="false">AVERAGE(densidade_hab_indL!O38:O40)</f>
        <v>0.00666666666666667</v>
      </c>
      <c r="P14" s="18" t="n">
        <f aca="false">AVERAGE(densidade_hab_indL!P38:P40)</f>
        <v>0</v>
      </c>
      <c r="Q14" s="18" t="n">
        <f aca="false">AVERAGE(densidade_hab_indL!Q38:Q40)</f>
        <v>0</v>
      </c>
      <c r="R14" s="18" t="n">
        <f aca="false">AVERAGE(densidade_hab_indL!R38:R40)</f>
        <v>0</v>
      </c>
      <c r="S14" s="18" t="n">
        <f aca="false">AVERAGE(densidade_hab_indL!S38:S40)</f>
        <v>0</v>
      </c>
      <c r="T14" s="18" t="n">
        <f aca="false">AVERAGE(densidade_hab_indL!T38:T40)</f>
        <v>0.0533333333333333</v>
      </c>
      <c r="U14" s="18" t="n">
        <f aca="false">AVERAGE(densidade_hab_indL!U38:U40)</f>
        <v>1.63333333333333</v>
      </c>
      <c r="V14" s="18" t="n">
        <f aca="false">AVERAGE(densidade_hab_indL!V38:V40)</f>
        <v>0</v>
      </c>
      <c r="W14" s="18" t="n">
        <f aca="false">AVERAGE(densidade_hab_indL!W38:W40)</f>
        <v>0</v>
      </c>
      <c r="X14" s="18" t="n">
        <f aca="false">AVERAGE(densidade_hab_indL!X38:X40)</f>
        <v>0</v>
      </c>
      <c r="Y14" s="18" t="n">
        <f aca="false">AVERAGE(densidade_hab_indL!Y38:Y40)</f>
        <v>0.1</v>
      </c>
      <c r="Z14" s="18" t="n">
        <f aca="false">AVERAGE(densidade_hab_indL!Z38:Z40)</f>
        <v>0.0466666666666667</v>
      </c>
      <c r="AA14" s="18" t="n">
        <f aca="false">AVERAGE(densidade_hab_indL!AA38:AA40)</f>
        <v>1.52666666666667</v>
      </c>
      <c r="AB14" s="18" t="n">
        <f aca="false">AVERAGE(densidade_hab_indL!AB38:AB40)</f>
        <v>0</v>
      </c>
      <c r="AC14" s="18" t="n">
        <f aca="false">AVERAGE(densidade_hab_indL!AC38:AC40)</f>
        <v>0</v>
      </c>
      <c r="AD14" s="18" t="n">
        <f aca="false">AVERAGE(densidade_hab_indL!AD38:AD40)</f>
        <v>0.04</v>
      </c>
      <c r="AE14" s="18" t="n">
        <f aca="false">AVERAGE(densidade_hab_indL!AE38:AE40)</f>
        <v>0</v>
      </c>
      <c r="AF14" s="18" t="n">
        <f aca="false">AVERAGE(densidade_hab_indL!AF38:AF40)</f>
        <v>0.0466666666666667</v>
      </c>
      <c r="AG14" s="18" t="n">
        <f aca="false">AVERAGE(densidade_hab_indL!AG38:AG40)</f>
        <v>0</v>
      </c>
      <c r="AH14" s="18" t="n">
        <f aca="false">AVERAGE(densidade_hab_indL!AH38:AH40)</f>
        <v>0.0133333333333333</v>
      </c>
      <c r="AI14" s="18" t="n">
        <f aca="false">AVERAGE(densidade_hab_indL!AI38:AI40)</f>
        <v>0.02</v>
      </c>
      <c r="AJ14" s="18" t="n">
        <f aca="false">AVERAGE(densidade_hab_indL!AJ38:AJ40)</f>
        <v>0.00666666666666667</v>
      </c>
      <c r="AK14" s="18" t="n">
        <f aca="false">AVERAGE(densidade_hab_indL!AK38:AK40)</f>
        <v>0</v>
      </c>
      <c r="AL14" s="18" t="n">
        <f aca="false">AVERAGE(densidade_hab_indL!AL38:AL40)</f>
        <v>0</v>
      </c>
      <c r="AM14" s="18" t="n">
        <f aca="false">AVERAGE(densidade_hab_indL!AM38:AM40)</f>
        <v>0.00666666666666667</v>
      </c>
      <c r="AN14" s="18" t="n">
        <f aca="false">AVERAGE(densidade_hab_indL!AN38:AN40)</f>
        <v>0</v>
      </c>
      <c r="AO14" s="18" t="n">
        <f aca="false">AVERAGE(densidade_hab_indL!AO38:AO40)</f>
        <v>0</v>
      </c>
      <c r="AP14" s="18" t="n">
        <f aca="false">AVERAGE(densidade_hab_indL!AP38:AP40)</f>
        <v>0</v>
      </c>
      <c r="AQ14" s="18" t="n">
        <f aca="false">AVERAGE(densidade_hab_indL!AQ38:AQ40)</f>
        <v>0</v>
      </c>
      <c r="AR14" s="18" t="n">
        <f aca="false">AVERAGE(densidade_hab_indL!AR38:AR40)</f>
        <v>0.00666666666666667</v>
      </c>
      <c r="AS14" s="18" t="n">
        <f aca="false">AVERAGE(densidade_hab_indL!AS38:AS40)</f>
        <v>0.02</v>
      </c>
      <c r="AT14" s="18" t="n">
        <f aca="false">AVERAGE(densidade_hab_indL!AT38:AT40)</f>
        <v>1.07333333333333</v>
      </c>
      <c r="AU14" s="18" t="n">
        <f aca="false">AVERAGE(densidade_hab_indL!AU38:AU40)</f>
        <v>0</v>
      </c>
      <c r="AV14" s="18" t="n">
        <f aca="false">AVERAGE(densidade_hab_indL!AV38:AV40)</f>
        <v>0</v>
      </c>
      <c r="AW14" s="18" t="n">
        <f aca="false">AVERAGE(densidade_hab_indL!AW38:AW40)</f>
        <v>0</v>
      </c>
      <c r="AX14" s="18" t="n">
        <f aca="false">AVERAGE(densidade_hab_indL!AX38:AX40)</f>
        <v>0.133333333333333</v>
      </c>
      <c r="AY14" s="18" t="n">
        <f aca="false">AVERAGE(densidade_hab_indL!AY38:AY40)</f>
        <v>0.0466666666666667</v>
      </c>
      <c r="AZ14" s="18" t="n">
        <f aca="false">AVERAGE(densidade_hab_indL!AZ38:AZ40)</f>
        <v>0</v>
      </c>
      <c r="BA14" s="18" t="n">
        <f aca="false">AVERAGE(densidade_hab_indL!BA38:BA40)</f>
        <v>0.0266666666666667</v>
      </c>
      <c r="BB14" s="18" t="n">
        <f aca="false">AVERAGE(densidade_hab_indL!BB38:BB40)</f>
        <v>0.00666666666666667</v>
      </c>
      <c r="BC14" s="18" t="n">
        <f aca="false">AVERAGE(densidade_hab_indL!BC38:BC40)</f>
        <v>0.28</v>
      </c>
      <c r="BD14" s="18" t="n">
        <f aca="false">AVERAGE(densidade_hab_indL!BD38:BD40)</f>
        <v>0.00666666666666667</v>
      </c>
      <c r="BE14" s="18" t="n">
        <f aca="false">AVERAGE(densidade_hab_indL!BE38:BE40)</f>
        <v>0</v>
      </c>
    </row>
    <row r="15" customFormat="false" ht="12.8" hidden="false" customHeight="false" outlineLevel="0" collapsed="false">
      <c r="A15" s="1" t="s">
        <v>279</v>
      </c>
      <c r="B15" s="18" t="n">
        <f aca="false">AVERAGE(densidade_hab_indL!B41:B43)</f>
        <v>0</v>
      </c>
      <c r="C15" s="18" t="n">
        <f aca="false">AVERAGE(densidade_hab_indL!C41:C43)</f>
        <v>0</v>
      </c>
      <c r="D15" s="18" t="n">
        <f aca="false">AVERAGE(densidade_hab_indL!D41:D43)</f>
        <v>0.06</v>
      </c>
      <c r="E15" s="18" t="n">
        <f aca="false">AVERAGE(densidade_hab_indL!E41:E43)</f>
        <v>0.02</v>
      </c>
      <c r="F15" s="18" t="n">
        <f aca="false">AVERAGE(densidade_hab_indL!F41:F43)</f>
        <v>0.0466666666666667</v>
      </c>
      <c r="G15" s="18" t="n">
        <f aca="false">AVERAGE(densidade_hab_indL!G41:G43)</f>
        <v>0.0133333333333333</v>
      </c>
      <c r="H15" s="18" t="n">
        <f aca="false">AVERAGE(densidade_hab_indL!H41:H43)</f>
        <v>0.233333333333333</v>
      </c>
      <c r="I15" s="18" t="n">
        <f aca="false">AVERAGE(densidade_hab_indL!I41:I43)</f>
        <v>0</v>
      </c>
      <c r="J15" s="18" t="n">
        <f aca="false">AVERAGE(densidade_hab_indL!J41:J43)</f>
        <v>0.36</v>
      </c>
      <c r="K15" s="18" t="n">
        <f aca="false">AVERAGE(densidade_hab_indL!K41:K43)</f>
        <v>0.0133333333333333</v>
      </c>
      <c r="L15" s="18" t="n">
        <f aca="false">AVERAGE(densidade_hab_indL!L41:L43)</f>
        <v>0</v>
      </c>
      <c r="M15" s="18" t="n">
        <f aca="false">AVERAGE(densidade_hab_indL!M41:M43)</f>
        <v>0.02</v>
      </c>
      <c r="N15" s="18" t="n">
        <f aca="false">AVERAGE(densidade_hab_indL!N41:N43)</f>
        <v>0</v>
      </c>
      <c r="O15" s="18" t="n">
        <f aca="false">AVERAGE(densidade_hab_indL!O41:O43)</f>
        <v>0.0266666666666667</v>
      </c>
      <c r="P15" s="18" t="n">
        <f aca="false">AVERAGE(densidade_hab_indL!P41:P43)</f>
        <v>0</v>
      </c>
      <c r="Q15" s="18" t="n">
        <f aca="false">AVERAGE(densidade_hab_indL!Q41:Q43)</f>
        <v>0</v>
      </c>
      <c r="R15" s="18" t="n">
        <f aca="false">AVERAGE(densidade_hab_indL!R41:R43)</f>
        <v>0</v>
      </c>
      <c r="S15" s="18" t="n">
        <f aca="false">AVERAGE(densidade_hab_indL!S41:S43)</f>
        <v>0</v>
      </c>
      <c r="T15" s="18" t="n">
        <f aca="false">AVERAGE(densidade_hab_indL!T41:T43)</f>
        <v>0.00666666666666667</v>
      </c>
      <c r="U15" s="18" t="n">
        <f aca="false">AVERAGE(densidade_hab_indL!U41:U43)</f>
        <v>0.00666666666666667</v>
      </c>
      <c r="V15" s="18" t="n">
        <f aca="false">AVERAGE(densidade_hab_indL!V41:V43)</f>
        <v>0</v>
      </c>
      <c r="W15" s="18" t="n">
        <f aca="false">AVERAGE(densidade_hab_indL!W41:W43)</f>
        <v>0</v>
      </c>
      <c r="X15" s="18" t="n">
        <f aca="false">AVERAGE(densidade_hab_indL!X41:X43)</f>
        <v>0</v>
      </c>
      <c r="Y15" s="18" t="n">
        <f aca="false">AVERAGE(densidade_hab_indL!Y41:Y43)</f>
        <v>0</v>
      </c>
      <c r="Z15" s="18" t="n">
        <f aca="false">AVERAGE(densidade_hab_indL!Z41:Z43)</f>
        <v>0</v>
      </c>
      <c r="AA15" s="18" t="n">
        <f aca="false">AVERAGE(densidade_hab_indL!AA41:AA43)</f>
        <v>0.04</v>
      </c>
      <c r="AB15" s="18" t="n">
        <f aca="false">AVERAGE(densidade_hab_indL!AB41:AB43)</f>
        <v>0</v>
      </c>
      <c r="AC15" s="18" t="n">
        <f aca="false">AVERAGE(densidade_hab_indL!AC41:AC43)</f>
        <v>0</v>
      </c>
      <c r="AD15" s="18" t="n">
        <f aca="false">AVERAGE(densidade_hab_indL!AD41:AD43)</f>
        <v>0.06</v>
      </c>
      <c r="AE15" s="18" t="n">
        <f aca="false">AVERAGE(densidade_hab_indL!AE41:AE43)</f>
        <v>0</v>
      </c>
      <c r="AF15" s="18" t="n">
        <f aca="false">AVERAGE(densidade_hab_indL!AF41:AF43)</f>
        <v>0.153333333333333</v>
      </c>
      <c r="AG15" s="18" t="n">
        <f aca="false">AVERAGE(densidade_hab_indL!AG41:AG43)</f>
        <v>0</v>
      </c>
      <c r="AH15" s="18" t="n">
        <f aca="false">AVERAGE(densidade_hab_indL!AH41:AH43)</f>
        <v>0.04</v>
      </c>
      <c r="AI15" s="18" t="n">
        <f aca="false">AVERAGE(densidade_hab_indL!AI41:AI43)</f>
        <v>0.0133333333333333</v>
      </c>
      <c r="AJ15" s="18" t="n">
        <f aca="false">AVERAGE(densidade_hab_indL!AJ41:AJ43)</f>
        <v>0</v>
      </c>
      <c r="AK15" s="18" t="n">
        <f aca="false">AVERAGE(densidade_hab_indL!AK41:AK43)</f>
        <v>0</v>
      </c>
      <c r="AL15" s="18" t="n">
        <f aca="false">AVERAGE(densidade_hab_indL!AL41:AL43)</f>
        <v>0</v>
      </c>
      <c r="AM15" s="18" t="n">
        <f aca="false">AVERAGE(densidade_hab_indL!AM41:AM43)</f>
        <v>0.00666666666666667</v>
      </c>
      <c r="AN15" s="18" t="n">
        <f aca="false">AVERAGE(densidade_hab_indL!AN41:AN43)</f>
        <v>0</v>
      </c>
      <c r="AO15" s="18" t="n">
        <f aca="false">AVERAGE(densidade_hab_indL!AO41:AO43)</f>
        <v>0</v>
      </c>
      <c r="AP15" s="18" t="n">
        <f aca="false">AVERAGE(densidade_hab_indL!AP41:AP43)</f>
        <v>0.0266666666666667</v>
      </c>
      <c r="AQ15" s="18" t="n">
        <f aca="false">AVERAGE(densidade_hab_indL!AQ41:AQ43)</f>
        <v>0</v>
      </c>
      <c r="AR15" s="18" t="n">
        <f aca="false">AVERAGE(densidade_hab_indL!AR41:AR43)</f>
        <v>0.00666666666666667</v>
      </c>
      <c r="AS15" s="18" t="n">
        <f aca="false">AVERAGE(densidade_hab_indL!AS41:AS43)</f>
        <v>0</v>
      </c>
      <c r="AT15" s="18" t="n">
        <f aca="false">AVERAGE(densidade_hab_indL!AT41:AT43)</f>
        <v>1.79333333333333</v>
      </c>
      <c r="AU15" s="18" t="n">
        <f aca="false">AVERAGE(densidade_hab_indL!AU41:AU43)</f>
        <v>0</v>
      </c>
      <c r="AV15" s="18" t="n">
        <f aca="false">AVERAGE(densidade_hab_indL!AV41:AV43)</f>
        <v>0.00666666666666667</v>
      </c>
      <c r="AW15" s="18" t="n">
        <f aca="false">AVERAGE(densidade_hab_indL!AW41:AW43)</f>
        <v>0</v>
      </c>
      <c r="AX15" s="18" t="n">
        <f aca="false">AVERAGE(densidade_hab_indL!AX41:AX43)</f>
        <v>0.18</v>
      </c>
      <c r="AY15" s="18" t="n">
        <f aca="false">AVERAGE(densidade_hab_indL!AY41:AY43)</f>
        <v>0.113333333333333</v>
      </c>
      <c r="AZ15" s="18" t="n">
        <f aca="false">AVERAGE(densidade_hab_indL!AZ41:AZ43)</f>
        <v>0</v>
      </c>
      <c r="BA15" s="18" t="n">
        <f aca="false">AVERAGE(densidade_hab_indL!BA41:BA43)</f>
        <v>0.48</v>
      </c>
      <c r="BB15" s="18" t="n">
        <f aca="false">AVERAGE(densidade_hab_indL!BB41:BB43)</f>
        <v>0</v>
      </c>
      <c r="BC15" s="18" t="n">
        <f aca="false">AVERAGE(densidade_hab_indL!BC41:BC43)</f>
        <v>0.0866666666666667</v>
      </c>
      <c r="BD15" s="18" t="n">
        <f aca="false">AVERAGE(densidade_hab_indL!BD41:BD43)</f>
        <v>0</v>
      </c>
      <c r="BE15" s="18" t="n">
        <f aca="false">AVERAGE(densidade_hab_indL!BE41:BE43)</f>
        <v>0</v>
      </c>
    </row>
    <row r="16" customFormat="false" ht="12.8" hidden="false" customHeight="false" outlineLevel="0" collapsed="false">
      <c r="A16" s="1" t="s">
        <v>280</v>
      </c>
      <c r="B16" s="18" t="n">
        <f aca="false">AVERAGE(densidade_hab_indL!B44:B46)</f>
        <v>0</v>
      </c>
      <c r="C16" s="18" t="n">
        <f aca="false">AVERAGE(densidade_hab_indL!C44:C46)</f>
        <v>0</v>
      </c>
      <c r="D16" s="18" t="n">
        <f aca="false">AVERAGE(densidade_hab_indL!D44:D46)</f>
        <v>0.0933333333333333</v>
      </c>
      <c r="E16" s="18" t="n">
        <f aca="false">AVERAGE(densidade_hab_indL!E44:E46)</f>
        <v>0</v>
      </c>
      <c r="F16" s="18" t="n">
        <f aca="false">AVERAGE(densidade_hab_indL!F44:F46)</f>
        <v>0.886666666666667</v>
      </c>
      <c r="G16" s="18" t="n">
        <f aca="false">AVERAGE(densidade_hab_indL!G44:G46)</f>
        <v>0</v>
      </c>
      <c r="H16" s="18" t="n">
        <f aca="false">AVERAGE(densidade_hab_indL!H44:H46)</f>
        <v>0.00666666666666667</v>
      </c>
      <c r="I16" s="18" t="n">
        <f aca="false">AVERAGE(densidade_hab_indL!I44:I46)</f>
        <v>0.686666666666667</v>
      </c>
      <c r="J16" s="18" t="n">
        <f aca="false">AVERAGE(densidade_hab_indL!J44:J46)</f>
        <v>0.04</v>
      </c>
      <c r="K16" s="18" t="n">
        <f aca="false">AVERAGE(densidade_hab_indL!K44:K46)</f>
        <v>0</v>
      </c>
      <c r="L16" s="18" t="n">
        <f aca="false">AVERAGE(densidade_hab_indL!L44:L46)</f>
        <v>0</v>
      </c>
      <c r="M16" s="18" t="n">
        <f aca="false">AVERAGE(densidade_hab_indL!M44:M46)</f>
        <v>0.413333333333333</v>
      </c>
      <c r="N16" s="18" t="n">
        <f aca="false">AVERAGE(densidade_hab_indL!N44:N46)</f>
        <v>0.00666666666666667</v>
      </c>
      <c r="O16" s="18" t="n">
        <f aca="false">AVERAGE(densidade_hab_indL!O44:O46)</f>
        <v>0.06</v>
      </c>
      <c r="P16" s="18" t="n">
        <f aca="false">AVERAGE(densidade_hab_indL!P44:P46)</f>
        <v>0</v>
      </c>
      <c r="Q16" s="18" t="n">
        <f aca="false">AVERAGE(densidade_hab_indL!Q44:Q46)</f>
        <v>0</v>
      </c>
      <c r="R16" s="18" t="n">
        <f aca="false">AVERAGE(densidade_hab_indL!R44:R46)</f>
        <v>0.0266666666666667</v>
      </c>
      <c r="S16" s="18" t="n">
        <f aca="false">AVERAGE(densidade_hab_indL!S44:S46)</f>
        <v>0</v>
      </c>
      <c r="T16" s="18" t="n">
        <f aca="false">AVERAGE(densidade_hab_indL!T44:T46)</f>
        <v>0.593333333333333</v>
      </c>
      <c r="U16" s="18" t="n">
        <f aca="false">AVERAGE(densidade_hab_indL!U44:U46)</f>
        <v>0.593333333333333</v>
      </c>
      <c r="V16" s="18" t="n">
        <f aca="false">AVERAGE(densidade_hab_indL!V44:V46)</f>
        <v>0</v>
      </c>
      <c r="W16" s="18" t="n">
        <f aca="false">AVERAGE(densidade_hab_indL!W44:W46)</f>
        <v>0</v>
      </c>
      <c r="X16" s="18" t="n">
        <f aca="false">AVERAGE(densidade_hab_indL!X44:X46)</f>
        <v>0</v>
      </c>
      <c r="Y16" s="18" t="n">
        <f aca="false">AVERAGE(densidade_hab_indL!Y44:Y46)</f>
        <v>0</v>
      </c>
      <c r="Z16" s="18" t="n">
        <f aca="false">AVERAGE(densidade_hab_indL!Z44:Z46)</f>
        <v>0</v>
      </c>
      <c r="AA16" s="18" t="n">
        <f aca="false">AVERAGE(densidade_hab_indL!AA44:AA46)</f>
        <v>0.213333333333333</v>
      </c>
      <c r="AB16" s="18" t="n">
        <f aca="false">AVERAGE(densidade_hab_indL!AB44:AB46)</f>
        <v>0</v>
      </c>
      <c r="AC16" s="18" t="n">
        <f aca="false">AVERAGE(densidade_hab_indL!AC44:AC46)</f>
        <v>0</v>
      </c>
      <c r="AD16" s="18" t="n">
        <f aca="false">AVERAGE(densidade_hab_indL!AD44:AD46)</f>
        <v>0</v>
      </c>
      <c r="AE16" s="18" t="n">
        <f aca="false">AVERAGE(densidade_hab_indL!AE44:AE46)</f>
        <v>0</v>
      </c>
      <c r="AF16" s="18" t="n">
        <f aca="false">AVERAGE(densidade_hab_indL!AF44:AF46)</f>
        <v>0.0133333333333333</v>
      </c>
      <c r="AG16" s="18" t="n">
        <f aca="false">AVERAGE(densidade_hab_indL!AG44:AG46)</f>
        <v>0</v>
      </c>
      <c r="AH16" s="18" t="n">
        <f aca="false">AVERAGE(densidade_hab_indL!AH44:AH46)</f>
        <v>0.00666666666666667</v>
      </c>
      <c r="AI16" s="18" t="n">
        <f aca="false">AVERAGE(densidade_hab_indL!AI44:AI46)</f>
        <v>0</v>
      </c>
      <c r="AJ16" s="18" t="n">
        <f aca="false">AVERAGE(densidade_hab_indL!AJ44:AJ46)</f>
        <v>0</v>
      </c>
      <c r="AK16" s="18" t="n">
        <f aca="false">AVERAGE(densidade_hab_indL!AK44:AK46)</f>
        <v>0</v>
      </c>
      <c r="AL16" s="18" t="n">
        <f aca="false">AVERAGE(densidade_hab_indL!AL44:AL46)</f>
        <v>0</v>
      </c>
      <c r="AM16" s="18" t="n">
        <f aca="false">AVERAGE(densidade_hab_indL!AM44:AM46)</f>
        <v>0</v>
      </c>
      <c r="AN16" s="18" t="n">
        <f aca="false">AVERAGE(densidade_hab_indL!AN44:AN46)</f>
        <v>0</v>
      </c>
      <c r="AO16" s="18" t="n">
        <f aca="false">AVERAGE(densidade_hab_indL!AO44:AO46)</f>
        <v>0</v>
      </c>
      <c r="AP16" s="18" t="n">
        <f aca="false">AVERAGE(densidade_hab_indL!AP44:AP46)</f>
        <v>0</v>
      </c>
      <c r="AQ16" s="18" t="n">
        <f aca="false">AVERAGE(densidade_hab_indL!AQ44:AQ46)</f>
        <v>0</v>
      </c>
      <c r="AR16" s="18" t="n">
        <f aca="false">AVERAGE(densidade_hab_indL!AR44:AR46)</f>
        <v>0.0333333333333333</v>
      </c>
      <c r="AS16" s="18" t="n">
        <f aca="false">AVERAGE(densidade_hab_indL!AS44:AS46)</f>
        <v>0.00666666666666667</v>
      </c>
      <c r="AT16" s="18" t="n">
        <f aca="false">AVERAGE(densidade_hab_indL!AT44:AT46)</f>
        <v>3.92666666666667</v>
      </c>
      <c r="AU16" s="18" t="n">
        <f aca="false">AVERAGE(densidade_hab_indL!AU44:AU46)</f>
        <v>0</v>
      </c>
      <c r="AV16" s="18" t="n">
        <f aca="false">AVERAGE(densidade_hab_indL!AV44:AV46)</f>
        <v>0</v>
      </c>
      <c r="AW16" s="18" t="n">
        <f aca="false">AVERAGE(densidade_hab_indL!AW44:AW46)</f>
        <v>0</v>
      </c>
      <c r="AX16" s="18" t="n">
        <f aca="false">AVERAGE(densidade_hab_indL!AX44:AX46)</f>
        <v>0.113333333333333</v>
      </c>
      <c r="AY16" s="18" t="n">
        <f aca="false">AVERAGE(densidade_hab_indL!AY44:AY46)</f>
        <v>0.00666666666666667</v>
      </c>
      <c r="AZ16" s="18" t="n">
        <f aca="false">AVERAGE(densidade_hab_indL!AZ44:AZ46)</f>
        <v>0</v>
      </c>
      <c r="BA16" s="18" t="n">
        <f aca="false">AVERAGE(densidade_hab_indL!BA44:BA46)</f>
        <v>0.00666666666666667</v>
      </c>
      <c r="BB16" s="18" t="n">
        <f aca="false">AVERAGE(densidade_hab_indL!BB44:BB46)</f>
        <v>0</v>
      </c>
      <c r="BC16" s="18" t="n">
        <f aca="false">AVERAGE(densidade_hab_indL!BC44:BC46)</f>
        <v>0.12</v>
      </c>
      <c r="BD16" s="18" t="n">
        <f aca="false">AVERAGE(densidade_hab_indL!BD44:BD46)</f>
        <v>0</v>
      </c>
      <c r="BE16" s="18" t="n">
        <f aca="false">AVERAGE(densidade_hab_indL!BE44:BE46)</f>
        <v>0</v>
      </c>
    </row>
    <row r="17" customFormat="false" ht="12.8" hidden="false" customHeight="false" outlineLevel="0" collapsed="false">
      <c r="A17" s="1" t="s">
        <v>281</v>
      </c>
      <c r="B17" s="18" t="n">
        <f aca="false">AVERAGE(densidade_hab_indL!B47:B49)</f>
        <v>0</v>
      </c>
      <c r="C17" s="18" t="n">
        <f aca="false">AVERAGE(densidade_hab_indL!C47:C49)</f>
        <v>0.00666666666666667</v>
      </c>
      <c r="D17" s="18" t="n">
        <f aca="false">AVERAGE(densidade_hab_indL!D47:D49)</f>
        <v>0.213333333333333</v>
      </c>
      <c r="E17" s="18" t="n">
        <f aca="false">AVERAGE(densidade_hab_indL!E47:E49)</f>
        <v>0</v>
      </c>
      <c r="F17" s="18" t="n">
        <f aca="false">AVERAGE(densidade_hab_indL!F47:F49)</f>
        <v>0.04</v>
      </c>
      <c r="G17" s="18" t="n">
        <f aca="false">AVERAGE(densidade_hab_indL!G47:G49)</f>
        <v>0</v>
      </c>
      <c r="H17" s="18" t="n">
        <f aca="false">AVERAGE(densidade_hab_indL!H47:H49)</f>
        <v>0</v>
      </c>
      <c r="I17" s="18" t="n">
        <f aca="false">AVERAGE(densidade_hab_indL!I47:I49)</f>
        <v>0.0466666666666667</v>
      </c>
      <c r="J17" s="18" t="n">
        <f aca="false">AVERAGE(densidade_hab_indL!J47:J49)</f>
        <v>0.02</v>
      </c>
      <c r="K17" s="18" t="n">
        <f aca="false">AVERAGE(densidade_hab_indL!K47:K49)</f>
        <v>0</v>
      </c>
      <c r="L17" s="18" t="n">
        <f aca="false">AVERAGE(densidade_hab_indL!L47:L49)</f>
        <v>0</v>
      </c>
      <c r="M17" s="18" t="n">
        <f aca="false">AVERAGE(densidade_hab_indL!M47:M49)</f>
        <v>0.2</v>
      </c>
      <c r="N17" s="18" t="n">
        <f aca="false">AVERAGE(densidade_hab_indL!N47:N49)</f>
        <v>0</v>
      </c>
      <c r="O17" s="18" t="n">
        <f aca="false">AVERAGE(densidade_hab_indL!O47:O49)</f>
        <v>0.04</v>
      </c>
      <c r="P17" s="18" t="n">
        <f aca="false">AVERAGE(densidade_hab_indL!P47:P49)</f>
        <v>0</v>
      </c>
      <c r="Q17" s="18" t="n">
        <f aca="false">AVERAGE(densidade_hab_indL!Q47:Q49)</f>
        <v>0</v>
      </c>
      <c r="R17" s="18" t="n">
        <f aca="false">AVERAGE(densidade_hab_indL!R47:R49)</f>
        <v>0</v>
      </c>
      <c r="S17" s="18" t="n">
        <f aca="false">AVERAGE(densidade_hab_indL!S47:S49)</f>
        <v>0</v>
      </c>
      <c r="T17" s="18" t="n">
        <f aca="false">AVERAGE(densidade_hab_indL!T47:T49)</f>
        <v>0.04</v>
      </c>
      <c r="U17" s="18" t="n">
        <f aca="false">AVERAGE(densidade_hab_indL!U47:U49)</f>
        <v>0.04</v>
      </c>
      <c r="V17" s="18" t="n">
        <f aca="false">AVERAGE(densidade_hab_indL!V47:V49)</f>
        <v>0</v>
      </c>
      <c r="W17" s="18" t="n">
        <f aca="false">AVERAGE(densidade_hab_indL!W47:W49)</f>
        <v>0</v>
      </c>
      <c r="X17" s="18" t="n">
        <f aca="false">AVERAGE(densidade_hab_indL!X47:X49)</f>
        <v>0</v>
      </c>
      <c r="Y17" s="18" t="n">
        <f aca="false">AVERAGE(densidade_hab_indL!Y47:Y49)</f>
        <v>0</v>
      </c>
      <c r="Z17" s="18" t="n">
        <f aca="false">AVERAGE(densidade_hab_indL!Z47:Z49)</f>
        <v>0</v>
      </c>
      <c r="AA17" s="18" t="n">
        <f aca="false">AVERAGE(densidade_hab_indL!AA47:AA49)</f>
        <v>0.0466666666666667</v>
      </c>
      <c r="AB17" s="18" t="n">
        <f aca="false">AVERAGE(densidade_hab_indL!AB47:AB49)</f>
        <v>0</v>
      </c>
      <c r="AC17" s="18" t="n">
        <f aca="false">AVERAGE(densidade_hab_indL!AC47:AC49)</f>
        <v>0</v>
      </c>
      <c r="AD17" s="18" t="n">
        <f aca="false">AVERAGE(densidade_hab_indL!AD47:AD49)</f>
        <v>0.02</v>
      </c>
      <c r="AE17" s="18" t="n">
        <f aca="false">AVERAGE(densidade_hab_indL!AE47:AE49)</f>
        <v>0.0266666666666667</v>
      </c>
      <c r="AF17" s="18" t="n">
        <f aca="false">AVERAGE(densidade_hab_indL!AF47:AF49)</f>
        <v>0.22</v>
      </c>
      <c r="AG17" s="18" t="n">
        <f aca="false">AVERAGE(densidade_hab_indL!AG47:AG49)</f>
        <v>0</v>
      </c>
      <c r="AH17" s="18" t="n">
        <f aca="false">AVERAGE(densidade_hab_indL!AH47:AH49)</f>
        <v>0</v>
      </c>
      <c r="AI17" s="18" t="n">
        <f aca="false">AVERAGE(densidade_hab_indL!AI47:AI49)</f>
        <v>0.0933333333333333</v>
      </c>
      <c r="AJ17" s="18" t="n">
        <f aca="false">AVERAGE(densidade_hab_indL!AJ47:AJ49)</f>
        <v>0.266666666666667</v>
      </c>
      <c r="AK17" s="18" t="n">
        <f aca="false">AVERAGE(densidade_hab_indL!AK47:AK49)</f>
        <v>0</v>
      </c>
      <c r="AL17" s="18" t="n">
        <f aca="false">AVERAGE(densidade_hab_indL!AL47:AL49)</f>
        <v>0</v>
      </c>
      <c r="AM17" s="18" t="n">
        <f aca="false">AVERAGE(densidade_hab_indL!AM47:AM49)</f>
        <v>0</v>
      </c>
      <c r="AN17" s="18" t="n">
        <f aca="false">AVERAGE(densidade_hab_indL!AN47:AN49)</f>
        <v>0</v>
      </c>
      <c r="AO17" s="18" t="n">
        <f aca="false">AVERAGE(densidade_hab_indL!AO47:AO49)</f>
        <v>0</v>
      </c>
      <c r="AP17" s="18" t="n">
        <f aca="false">AVERAGE(densidade_hab_indL!AP47:AP49)</f>
        <v>0</v>
      </c>
      <c r="AQ17" s="18" t="n">
        <f aca="false">AVERAGE(densidade_hab_indL!AQ47:AQ49)</f>
        <v>0</v>
      </c>
      <c r="AR17" s="18" t="n">
        <f aca="false">AVERAGE(densidade_hab_indL!AR47:AR49)</f>
        <v>0.0466666666666667</v>
      </c>
      <c r="AS17" s="18" t="n">
        <f aca="false">AVERAGE(densidade_hab_indL!AS47:AS49)</f>
        <v>0.04</v>
      </c>
      <c r="AT17" s="18" t="n">
        <f aca="false">AVERAGE(densidade_hab_indL!AT47:AT49)</f>
        <v>7.20666666666667</v>
      </c>
      <c r="AU17" s="18" t="n">
        <f aca="false">AVERAGE(densidade_hab_indL!AU47:AU49)</f>
        <v>0</v>
      </c>
      <c r="AV17" s="18" t="n">
        <f aca="false">AVERAGE(densidade_hab_indL!AV47:AV49)</f>
        <v>0</v>
      </c>
      <c r="AW17" s="18" t="n">
        <f aca="false">AVERAGE(densidade_hab_indL!AW47:AW49)</f>
        <v>0</v>
      </c>
      <c r="AX17" s="18" t="n">
        <f aca="false">AVERAGE(densidade_hab_indL!AX47:AX49)</f>
        <v>0.0133333333333333</v>
      </c>
      <c r="AY17" s="18" t="n">
        <f aca="false">AVERAGE(densidade_hab_indL!AY47:AY49)</f>
        <v>0.14</v>
      </c>
      <c r="AZ17" s="18" t="n">
        <f aca="false">AVERAGE(densidade_hab_indL!AZ47:AZ49)</f>
        <v>0</v>
      </c>
      <c r="BA17" s="18" t="n">
        <f aca="false">AVERAGE(densidade_hab_indL!BA47:BA49)</f>
        <v>0</v>
      </c>
      <c r="BB17" s="18" t="n">
        <f aca="false">AVERAGE(densidade_hab_indL!BB47:BB49)</f>
        <v>0</v>
      </c>
      <c r="BC17" s="18" t="n">
        <f aca="false">AVERAGE(densidade_hab_indL!BC47:BC49)</f>
        <v>0.0666666666666667</v>
      </c>
      <c r="BD17" s="18" t="n">
        <f aca="false">AVERAGE(densidade_hab_indL!BD47:BD49)</f>
        <v>0</v>
      </c>
      <c r="BE17" s="18" t="n">
        <f aca="false">AVERAGE(densidade_hab_indL!BE47:BE49)</f>
        <v>0</v>
      </c>
    </row>
    <row r="18" customFormat="false" ht="12.8" hidden="false" customHeight="false" outlineLevel="0" collapsed="false">
      <c r="A18" s="1" t="s">
        <v>282</v>
      </c>
      <c r="B18" s="18" t="n">
        <f aca="false">AVERAGE(densidade_hab_indL!B50:B52)</f>
        <v>0</v>
      </c>
      <c r="C18" s="18" t="n">
        <f aca="false">AVERAGE(densidade_hab_indL!C50:C52)</f>
        <v>0</v>
      </c>
      <c r="D18" s="18" t="n">
        <f aca="false">AVERAGE(densidade_hab_indL!D50:D52)</f>
        <v>0.506666666666667</v>
      </c>
      <c r="E18" s="18" t="n">
        <f aca="false">AVERAGE(densidade_hab_indL!E50:E52)</f>
        <v>0.0666666666666667</v>
      </c>
      <c r="F18" s="18" t="n">
        <f aca="false">AVERAGE(densidade_hab_indL!F50:F52)</f>
        <v>1.64666666666667</v>
      </c>
      <c r="G18" s="18" t="n">
        <f aca="false">AVERAGE(densidade_hab_indL!G50:G52)</f>
        <v>0.0133333333333333</v>
      </c>
      <c r="H18" s="18" t="n">
        <f aca="false">AVERAGE(densidade_hab_indL!H50:H52)</f>
        <v>1.36666666666667</v>
      </c>
      <c r="I18" s="18" t="n">
        <f aca="false">AVERAGE(densidade_hab_indL!I50:I52)</f>
        <v>0.0133333333333333</v>
      </c>
      <c r="J18" s="18" t="n">
        <f aca="false">AVERAGE(densidade_hab_indL!J50:J52)</f>
        <v>0.206666666666667</v>
      </c>
      <c r="K18" s="18" t="n">
        <f aca="false">AVERAGE(densidade_hab_indL!K50:K52)</f>
        <v>0</v>
      </c>
      <c r="L18" s="18" t="n">
        <f aca="false">AVERAGE(densidade_hab_indL!L50:L52)</f>
        <v>0.00666666666666667</v>
      </c>
      <c r="M18" s="18" t="n">
        <f aca="false">AVERAGE(densidade_hab_indL!M50:M52)</f>
        <v>22.2666666666667</v>
      </c>
      <c r="N18" s="18" t="n">
        <f aca="false">AVERAGE(densidade_hab_indL!N50:N52)</f>
        <v>0</v>
      </c>
      <c r="O18" s="18" t="n">
        <f aca="false">AVERAGE(densidade_hab_indL!O50:O52)</f>
        <v>1.81333333333333</v>
      </c>
      <c r="P18" s="18" t="n">
        <f aca="false">AVERAGE(densidade_hab_indL!P50:P52)</f>
        <v>0</v>
      </c>
      <c r="Q18" s="18" t="n">
        <f aca="false">AVERAGE(densidade_hab_indL!Q50:Q52)</f>
        <v>0</v>
      </c>
      <c r="R18" s="18" t="n">
        <f aca="false">AVERAGE(densidade_hab_indL!R50:R52)</f>
        <v>0</v>
      </c>
      <c r="S18" s="18" t="n">
        <f aca="false">AVERAGE(densidade_hab_indL!S50:S52)</f>
        <v>0</v>
      </c>
      <c r="T18" s="18" t="n">
        <f aca="false">AVERAGE(densidade_hab_indL!T50:T52)</f>
        <v>0.0866666666666667</v>
      </c>
      <c r="U18" s="18" t="n">
        <f aca="false">AVERAGE(densidade_hab_indL!U50:U52)</f>
        <v>0.366666666666667</v>
      </c>
      <c r="V18" s="18" t="n">
        <f aca="false">AVERAGE(densidade_hab_indL!V50:V52)</f>
        <v>0</v>
      </c>
      <c r="W18" s="18" t="n">
        <f aca="false">AVERAGE(densidade_hab_indL!W50:W52)</f>
        <v>0</v>
      </c>
      <c r="X18" s="18" t="n">
        <f aca="false">AVERAGE(densidade_hab_indL!X50:X52)</f>
        <v>0</v>
      </c>
      <c r="Y18" s="18" t="n">
        <f aca="false">AVERAGE(densidade_hab_indL!Y50:Y52)</f>
        <v>0.04</v>
      </c>
      <c r="Z18" s="18" t="n">
        <f aca="false">AVERAGE(densidade_hab_indL!Z50:Z52)</f>
        <v>0.02</v>
      </c>
      <c r="AA18" s="18" t="n">
        <f aca="false">AVERAGE(densidade_hab_indL!AA50:AA52)</f>
        <v>1.24</v>
      </c>
      <c r="AB18" s="18" t="n">
        <f aca="false">AVERAGE(densidade_hab_indL!AB50:AB52)</f>
        <v>0</v>
      </c>
      <c r="AC18" s="18" t="n">
        <f aca="false">AVERAGE(densidade_hab_indL!AC50:AC52)</f>
        <v>0</v>
      </c>
      <c r="AD18" s="18" t="n">
        <f aca="false">AVERAGE(densidade_hab_indL!AD50:AD52)</f>
        <v>0.0466666666666667</v>
      </c>
      <c r="AE18" s="18" t="n">
        <f aca="false">AVERAGE(densidade_hab_indL!AE50:AE52)</f>
        <v>0.00666666666666667</v>
      </c>
      <c r="AF18" s="18" t="n">
        <f aca="false">AVERAGE(densidade_hab_indL!AF50:AF52)</f>
        <v>0.00666666666666667</v>
      </c>
      <c r="AG18" s="18" t="n">
        <f aca="false">AVERAGE(densidade_hab_indL!AG50:AG52)</f>
        <v>0</v>
      </c>
      <c r="AH18" s="18" t="n">
        <f aca="false">AVERAGE(densidade_hab_indL!AH50:AH52)</f>
        <v>0</v>
      </c>
      <c r="AI18" s="18" t="n">
        <f aca="false">AVERAGE(densidade_hab_indL!AI50:AI52)</f>
        <v>0.12</v>
      </c>
      <c r="AJ18" s="18" t="n">
        <f aca="false">AVERAGE(densidade_hab_indL!AJ50:AJ52)</f>
        <v>0.08</v>
      </c>
      <c r="AK18" s="18" t="n">
        <f aca="false">AVERAGE(densidade_hab_indL!AK50:AK52)</f>
        <v>0.113333333333333</v>
      </c>
      <c r="AL18" s="18" t="n">
        <f aca="false">AVERAGE(densidade_hab_indL!AL50:AL52)</f>
        <v>0.00666666666666667</v>
      </c>
      <c r="AM18" s="18" t="n">
        <f aca="false">AVERAGE(densidade_hab_indL!AM50:AM52)</f>
        <v>0</v>
      </c>
      <c r="AN18" s="18" t="n">
        <f aca="false">AVERAGE(densidade_hab_indL!AN50:AN52)</f>
        <v>0</v>
      </c>
      <c r="AO18" s="18" t="n">
        <f aca="false">AVERAGE(densidade_hab_indL!AO50:AO52)</f>
        <v>0</v>
      </c>
      <c r="AP18" s="18" t="n">
        <f aca="false">AVERAGE(densidade_hab_indL!AP50:AP52)</f>
        <v>0</v>
      </c>
      <c r="AQ18" s="18" t="n">
        <f aca="false">AVERAGE(densidade_hab_indL!AQ50:AQ52)</f>
        <v>0</v>
      </c>
      <c r="AR18" s="18" t="n">
        <f aca="false">AVERAGE(densidade_hab_indL!AR50:AR52)</f>
        <v>0.0733333333333333</v>
      </c>
      <c r="AS18" s="18" t="n">
        <f aca="false">AVERAGE(densidade_hab_indL!AS50:AS52)</f>
        <v>0.266666666666667</v>
      </c>
      <c r="AT18" s="18" t="n">
        <f aca="false">AVERAGE(densidade_hab_indL!AT50:AT52)</f>
        <v>50.9733333333333</v>
      </c>
      <c r="AU18" s="18" t="n">
        <f aca="false">AVERAGE(densidade_hab_indL!AU50:AU52)</f>
        <v>0</v>
      </c>
      <c r="AV18" s="18" t="n">
        <f aca="false">AVERAGE(densidade_hab_indL!AV50:AV52)</f>
        <v>0</v>
      </c>
      <c r="AW18" s="18" t="n">
        <f aca="false">AVERAGE(densidade_hab_indL!AW50:AW52)</f>
        <v>0</v>
      </c>
      <c r="AX18" s="18" t="n">
        <f aca="false">AVERAGE(densidade_hab_indL!AX50:AX52)</f>
        <v>0</v>
      </c>
      <c r="AY18" s="18" t="n">
        <f aca="false">AVERAGE(densidade_hab_indL!AY50:AY52)</f>
        <v>0</v>
      </c>
      <c r="AZ18" s="18" t="n">
        <f aca="false">AVERAGE(densidade_hab_indL!AZ50:AZ52)</f>
        <v>0</v>
      </c>
      <c r="BA18" s="18" t="n">
        <f aca="false">AVERAGE(densidade_hab_indL!BA50:BA52)</f>
        <v>0.00666666666666667</v>
      </c>
      <c r="BB18" s="18" t="n">
        <f aca="false">AVERAGE(densidade_hab_indL!BB50:BB52)</f>
        <v>0.06</v>
      </c>
      <c r="BC18" s="18" t="n">
        <f aca="false">AVERAGE(densidade_hab_indL!BC50:BC52)</f>
        <v>0.16</v>
      </c>
      <c r="BD18" s="18" t="n">
        <f aca="false">AVERAGE(densidade_hab_indL!BD50:BD52)</f>
        <v>0.0133333333333333</v>
      </c>
      <c r="BE18" s="18" t="n">
        <f aca="false">AVERAGE(densidade_hab_indL!BE50:BE52)</f>
        <v>0</v>
      </c>
    </row>
    <row r="19" customFormat="false" ht="12.8" hidden="false" customHeight="false" outlineLevel="0" collapsed="false">
      <c r="A19" s="1" t="s">
        <v>283</v>
      </c>
      <c r="B19" s="18" t="n">
        <f aca="false">AVERAGE(densidade_hab_indL!B53:B55)</f>
        <v>0</v>
      </c>
      <c r="C19" s="18" t="n">
        <f aca="false">AVERAGE(densidade_hab_indL!C53:C55)</f>
        <v>0</v>
      </c>
      <c r="D19" s="18" t="n">
        <f aca="false">AVERAGE(densidade_hab_indL!D53:D55)</f>
        <v>3.46</v>
      </c>
      <c r="E19" s="18" t="n">
        <f aca="false">AVERAGE(densidade_hab_indL!E53:E55)</f>
        <v>0.06</v>
      </c>
      <c r="F19" s="18" t="n">
        <f aca="false">AVERAGE(densidade_hab_indL!F53:F55)</f>
        <v>2.68666666666667</v>
      </c>
      <c r="G19" s="18" t="n">
        <f aca="false">AVERAGE(densidade_hab_indL!G53:G55)</f>
        <v>0.0333333333333333</v>
      </c>
      <c r="H19" s="18" t="n">
        <f aca="false">AVERAGE(densidade_hab_indL!H53:H55)</f>
        <v>0.0666666666666667</v>
      </c>
      <c r="I19" s="18" t="n">
        <f aca="false">AVERAGE(densidade_hab_indL!I53:I55)</f>
        <v>0.0133333333333333</v>
      </c>
      <c r="J19" s="18" t="n">
        <f aca="false">AVERAGE(densidade_hab_indL!J53:J55)</f>
        <v>0.0266666666666667</v>
      </c>
      <c r="K19" s="18" t="n">
        <f aca="false">AVERAGE(densidade_hab_indL!K53:K55)</f>
        <v>0.0266666666666667</v>
      </c>
      <c r="L19" s="18" t="n">
        <f aca="false">AVERAGE(densidade_hab_indL!L53:L55)</f>
        <v>0</v>
      </c>
      <c r="M19" s="18" t="n">
        <f aca="false">AVERAGE(densidade_hab_indL!M53:M55)</f>
        <v>0.686666666666667</v>
      </c>
      <c r="N19" s="18" t="n">
        <f aca="false">AVERAGE(densidade_hab_indL!N53:N55)</f>
        <v>0</v>
      </c>
      <c r="O19" s="18" t="n">
        <f aca="false">AVERAGE(densidade_hab_indL!O53:O55)</f>
        <v>0.0733333333333333</v>
      </c>
      <c r="P19" s="18" t="n">
        <f aca="false">AVERAGE(densidade_hab_indL!P53:P55)</f>
        <v>0</v>
      </c>
      <c r="Q19" s="18" t="n">
        <f aca="false">AVERAGE(densidade_hab_indL!Q53:Q55)</f>
        <v>0</v>
      </c>
      <c r="R19" s="18" t="n">
        <f aca="false">AVERAGE(densidade_hab_indL!R53:R55)</f>
        <v>0</v>
      </c>
      <c r="S19" s="18" t="n">
        <f aca="false">AVERAGE(densidade_hab_indL!S53:S55)</f>
        <v>0</v>
      </c>
      <c r="T19" s="18" t="n">
        <f aca="false">AVERAGE(densidade_hab_indL!T53:T55)</f>
        <v>4.53333333333333</v>
      </c>
      <c r="U19" s="18" t="n">
        <f aca="false">AVERAGE(densidade_hab_indL!U53:U55)</f>
        <v>0.153333333333333</v>
      </c>
      <c r="V19" s="18" t="n">
        <f aca="false">AVERAGE(densidade_hab_indL!V53:V55)</f>
        <v>0</v>
      </c>
      <c r="W19" s="18" t="n">
        <f aca="false">AVERAGE(densidade_hab_indL!W53:W55)</f>
        <v>6.14666666666667</v>
      </c>
      <c r="X19" s="18" t="n">
        <f aca="false">AVERAGE(densidade_hab_indL!X53:X55)</f>
        <v>0</v>
      </c>
      <c r="Y19" s="18" t="n">
        <f aca="false">AVERAGE(densidade_hab_indL!Y53:Y55)</f>
        <v>0.00666666666666667</v>
      </c>
      <c r="Z19" s="18" t="n">
        <f aca="false">AVERAGE(densidade_hab_indL!Z53:Z55)</f>
        <v>0</v>
      </c>
      <c r="AA19" s="18" t="n">
        <f aca="false">AVERAGE(densidade_hab_indL!AA53:AA55)</f>
        <v>0.0866666666666667</v>
      </c>
      <c r="AB19" s="18" t="n">
        <f aca="false">AVERAGE(densidade_hab_indL!AB53:AB55)</f>
        <v>0</v>
      </c>
      <c r="AC19" s="18" t="n">
        <f aca="false">AVERAGE(densidade_hab_indL!AC53:AC55)</f>
        <v>0</v>
      </c>
      <c r="AD19" s="18" t="n">
        <f aca="false">AVERAGE(densidade_hab_indL!AD53:AD55)</f>
        <v>0.00666666666666667</v>
      </c>
      <c r="AE19" s="18" t="n">
        <f aca="false">AVERAGE(densidade_hab_indL!AE53:AE55)</f>
        <v>0</v>
      </c>
      <c r="AF19" s="18" t="n">
        <f aca="false">AVERAGE(densidade_hab_indL!AF53:AF55)</f>
        <v>0</v>
      </c>
      <c r="AG19" s="18" t="n">
        <f aca="false">AVERAGE(densidade_hab_indL!AG53:AG55)</f>
        <v>0</v>
      </c>
      <c r="AH19" s="18" t="n">
        <f aca="false">AVERAGE(densidade_hab_indL!AH53:AH55)</f>
        <v>0</v>
      </c>
      <c r="AI19" s="18" t="n">
        <f aca="false">AVERAGE(densidade_hab_indL!AI53:AI55)</f>
        <v>0.00666666666666667</v>
      </c>
      <c r="AJ19" s="18" t="n">
        <f aca="false">AVERAGE(densidade_hab_indL!AJ53:AJ55)</f>
        <v>0.00666666666666667</v>
      </c>
      <c r="AK19" s="18" t="n">
        <f aca="false">AVERAGE(densidade_hab_indL!AK53:AK55)</f>
        <v>0.02</v>
      </c>
      <c r="AL19" s="18" t="n">
        <f aca="false">AVERAGE(densidade_hab_indL!AL53:AL55)</f>
        <v>0</v>
      </c>
      <c r="AM19" s="18" t="n">
        <f aca="false">AVERAGE(densidade_hab_indL!AM53:AM55)</f>
        <v>0</v>
      </c>
      <c r="AN19" s="18" t="n">
        <f aca="false">AVERAGE(densidade_hab_indL!AN53:AN55)</f>
        <v>0</v>
      </c>
      <c r="AO19" s="18" t="n">
        <f aca="false">AVERAGE(densidade_hab_indL!AO53:AO55)</f>
        <v>0</v>
      </c>
      <c r="AP19" s="18" t="n">
        <f aca="false">AVERAGE(densidade_hab_indL!AP53:AP55)</f>
        <v>0</v>
      </c>
      <c r="AQ19" s="18" t="n">
        <f aca="false">AVERAGE(densidade_hab_indL!AQ53:AQ55)</f>
        <v>0</v>
      </c>
      <c r="AR19" s="18" t="n">
        <f aca="false">AVERAGE(densidade_hab_indL!AR53:AR55)</f>
        <v>0.00666666666666667</v>
      </c>
      <c r="AS19" s="18" t="n">
        <f aca="false">AVERAGE(densidade_hab_indL!AS53:AS55)</f>
        <v>0</v>
      </c>
      <c r="AT19" s="18" t="n">
        <f aca="false">AVERAGE(densidade_hab_indL!AT53:AT55)</f>
        <v>3.96666666666667</v>
      </c>
      <c r="AU19" s="18" t="n">
        <f aca="false">AVERAGE(densidade_hab_indL!AU53:AU55)</f>
        <v>0</v>
      </c>
      <c r="AV19" s="18" t="n">
        <f aca="false">AVERAGE(densidade_hab_indL!AV53:AV55)</f>
        <v>0</v>
      </c>
      <c r="AW19" s="18" t="n">
        <f aca="false">AVERAGE(densidade_hab_indL!AW53:AW55)</f>
        <v>0</v>
      </c>
      <c r="AX19" s="18" t="n">
        <f aca="false">AVERAGE(densidade_hab_indL!AX53:AX55)</f>
        <v>0</v>
      </c>
      <c r="AY19" s="18" t="n">
        <f aca="false">AVERAGE(densidade_hab_indL!AY53:AY55)</f>
        <v>0</v>
      </c>
      <c r="AZ19" s="18" t="n">
        <f aca="false">AVERAGE(densidade_hab_indL!AZ53:AZ55)</f>
        <v>0</v>
      </c>
      <c r="BA19" s="18" t="n">
        <f aca="false">AVERAGE(densidade_hab_indL!BA53:BA55)</f>
        <v>0</v>
      </c>
      <c r="BB19" s="18" t="n">
        <f aca="false">AVERAGE(densidade_hab_indL!BB53:BB55)</f>
        <v>0.113333333333333</v>
      </c>
      <c r="BC19" s="18" t="n">
        <f aca="false">AVERAGE(densidade_hab_indL!BC53:BC55)</f>
        <v>0.02</v>
      </c>
      <c r="BD19" s="18" t="n">
        <f aca="false">AVERAGE(densidade_hab_indL!BD53:BD55)</f>
        <v>0.00666666666666667</v>
      </c>
      <c r="BE19" s="18" t="n">
        <f aca="false">AVERAGE(densidade_hab_indL!BE53:BE55)</f>
        <v>0</v>
      </c>
    </row>
    <row r="20" customFormat="false" ht="12.8" hidden="false" customHeight="false" outlineLevel="0" collapsed="false">
      <c r="A20" s="1" t="s">
        <v>284</v>
      </c>
    </row>
    <row r="21" customFormat="false" ht="12.8" hidden="false" customHeight="false" outlineLevel="0" collapsed="false">
      <c r="A21" s="1" t="s">
        <v>285</v>
      </c>
    </row>
    <row r="22" customFormat="false" ht="12.8" hidden="false" customHeight="false" outlineLevel="0" collapsed="false">
      <c r="A22" s="1" t="s">
        <v>286</v>
      </c>
    </row>
    <row r="23" customFormat="false" ht="12.8" hidden="false" customHeight="false" outlineLevel="0" collapsed="false">
      <c r="A23" s="1" t="s">
        <v>287</v>
      </c>
    </row>
    <row r="24" customFormat="false" ht="12.8" hidden="false" customHeight="false" outlineLevel="0" collapsed="false">
      <c r="A24" s="1" t="s">
        <v>288</v>
      </c>
    </row>
    <row r="25" customFormat="false" ht="12.8" hidden="false" customHeight="false" outlineLevel="0" collapsed="false">
      <c r="A25" s="1" t="s">
        <v>289</v>
      </c>
    </row>
    <row r="26" customFormat="false" ht="12.8" hidden="false" customHeight="false" outlineLevel="0" collapsed="false">
      <c r="A26" s="1" t="s">
        <v>290</v>
      </c>
    </row>
    <row r="27" customFormat="false" ht="12.8" hidden="false" customHeight="false" outlineLevel="0" collapsed="false">
      <c r="A27" s="1" t="s">
        <v>291</v>
      </c>
    </row>
    <row r="28" customFormat="false" ht="12.8" hidden="false" customHeight="false" outlineLevel="0" collapsed="false">
      <c r="A28" s="1" t="s">
        <v>292</v>
      </c>
    </row>
    <row r="29" customFormat="false" ht="12.8" hidden="false" customHeight="false" outlineLevel="0" collapsed="false">
      <c r="A29" s="1" t="s">
        <v>293</v>
      </c>
    </row>
    <row r="30" customFormat="false" ht="12.8" hidden="false" customHeight="false" outlineLevel="0" collapsed="false">
      <c r="A30" s="1" t="s">
        <v>294</v>
      </c>
    </row>
    <row r="31" customFormat="false" ht="12.8" hidden="false" customHeight="false" outlineLevel="0" collapsed="false">
      <c r="A31" s="1" t="s">
        <v>295</v>
      </c>
    </row>
    <row r="32" customFormat="false" ht="12.8" hidden="false" customHeight="false" outlineLevel="0" collapsed="false">
      <c r="A32" s="1" t="s">
        <v>296</v>
      </c>
    </row>
    <row r="33" customFormat="false" ht="12.8" hidden="false" customHeight="false" outlineLevel="0" collapsed="false">
      <c r="A33" s="1" t="s">
        <v>297</v>
      </c>
    </row>
    <row r="34" customFormat="false" ht="12.8" hidden="false" customHeight="false" outlineLevel="0" collapsed="false">
      <c r="A34" s="1" t="s">
        <v>298</v>
      </c>
    </row>
    <row r="35" customFormat="false" ht="12.8" hidden="false" customHeight="false" outlineLevel="0" collapsed="false">
      <c r="A35" s="1" t="s">
        <v>299</v>
      </c>
    </row>
    <row r="36" customFormat="false" ht="12.8" hidden="false" customHeight="false" outlineLevel="0" collapsed="false">
      <c r="A36" s="1" t="s">
        <v>300</v>
      </c>
    </row>
    <row r="37" customFormat="false" ht="12.8" hidden="false" customHeight="false" outlineLevel="0" collapsed="false">
      <c r="A37" s="1" t="s">
        <v>301</v>
      </c>
    </row>
    <row r="38" customFormat="false" ht="12.8" hidden="false" customHeight="false" outlineLevel="0" collapsed="false">
      <c r="A38" s="1" t="s">
        <v>302</v>
      </c>
    </row>
    <row r="39" customFormat="false" ht="12.8" hidden="false" customHeight="false" outlineLevel="0" collapsed="false">
      <c r="A39" s="1" t="s">
        <v>303</v>
      </c>
    </row>
    <row r="40" customFormat="false" ht="12.8" hidden="false" customHeight="false" outlineLevel="0" collapsed="false">
      <c r="A40" s="1" t="s">
        <v>304</v>
      </c>
    </row>
    <row r="41" customFormat="false" ht="12.8" hidden="false" customHeight="false" outlineLevel="0" collapsed="false">
      <c r="A41" s="1" t="s">
        <v>305</v>
      </c>
    </row>
    <row r="42" customFormat="false" ht="12.8" hidden="false" customHeight="false" outlineLevel="0" collapsed="false">
      <c r="A42" s="1" t="s">
        <v>306</v>
      </c>
    </row>
    <row r="43" customFormat="false" ht="12.8" hidden="false" customHeight="false" outlineLevel="0" collapsed="false">
      <c r="A43" s="1" t="s">
        <v>307</v>
      </c>
    </row>
    <row r="44" customFormat="false" ht="12.8" hidden="false" customHeight="false" outlineLevel="0" collapsed="false">
      <c r="A44" s="1" t="s">
        <v>308</v>
      </c>
    </row>
    <row r="45" customFormat="false" ht="12.8" hidden="false" customHeight="false" outlineLevel="0" collapsed="false">
      <c r="A45" s="1" t="s">
        <v>309</v>
      </c>
    </row>
    <row r="46" customFormat="false" ht="12.8" hidden="false" customHeight="false" outlineLevel="0" collapsed="false">
      <c r="A46" s="1" t="s">
        <v>310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311</v>
      </c>
    </row>
    <row r="2" customFormat="false" ht="12.8" hidden="false" customHeight="false" outlineLevel="0" collapsed="false">
      <c r="C2" s="1" t="n">
        <v>3</v>
      </c>
      <c r="D2" s="1" t="s">
        <v>312</v>
      </c>
      <c r="E2" s="1" t="s">
        <v>313</v>
      </c>
      <c r="F2" s="1" t="s">
        <v>314</v>
      </c>
    </row>
    <row r="3" customFormat="false" ht="12.8" hidden="false" customHeight="false" outlineLevel="0" collapsed="false">
      <c r="C3" s="1" t="n">
        <v>9</v>
      </c>
      <c r="D3" s="1" t="s">
        <v>315</v>
      </c>
      <c r="J3" s="19" t="s">
        <v>316</v>
      </c>
      <c r="K3" s="1" t="s">
        <v>317</v>
      </c>
    </row>
    <row r="4" customFormat="false" ht="12.8" hidden="false" customHeight="false" outlineLevel="0" collapsed="false">
      <c r="C4" s="1" t="n">
        <v>3</v>
      </c>
      <c r="D4" s="1" t="s">
        <v>318</v>
      </c>
      <c r="J4" s="20" t="s">
        <v>319</v>
      </c>
      <c r="K4" s="1" t="s">
        <v>320</v>
      </c>
    </row>
    <row r="5" customFormat="false" ht="12.8" hidden="false" customHeight="false" outlineLevel="0" collapsed="false">
      <c r="C5" s="21" t="n">
        <v>5</v>
      </c>
      <c r="D5" s="19" t="s">
        <v>321</v>
      </c>
      <c r="J5" s="22" t="s">
        <v>322</v>
      </c>
      <c r="K5" s="23" t="s">
        <v>323</v>
      </c>
    </row>
    <row r="7" customFormat="false" ht="12.8" hidden="false" customHeight="false" outlineLevel="0" collapsed="false">
      <c r="C7" s="1" t="n">
        <f aca="false">C5*C4*C3</f>
        <v>135</v>
      </c>
      <c r="D7" s="1" t="s">
        <v>324</v>
      </c>
      <c r="J7" s="1" t="s">
        <v>325</v>
      </c>
    </row>
    <row r="8" customFormat="false" ht="12.8" hidden="false" customHeight="false" outlineLevel="0" collapsed="false">
      <c r="F8" s="1" t="s">
        <v>326</v>
      </c>
      <c r="J8" s="1" t="s">
        <v>327</v>
      </c>
      <c r="L8" s="1" t="s">
        <v>328</v>
      </c>
      <c r="M8" s="1" t="s">
        <v>328</v>
      </c>
      <c r="N8" s="1" t="s">
        <v>328</v>
      </c>
      <c r="O8" s="1" t="s">
        <v>328</v>
      </c>
    </row>
    <row r="9" customFormat="false" ht="12.8" hidden="false" customHeight="false" outlineLevel="0" collapsed="false">
      <c r="C9" s="1" t="s">
        <v>329</v>
      </c>
      <c r="D9" s="24" t="n">
        <v>43739</v>
      </c>
      <c r="E9" s="25" t="s">
        <v>9</v>
      </c>
      <c r="F9" s="1" t="n">
        <v>1</v>
      </c>
      <c r="J9" s="1" t="s">
        <v>330</v>
      </c>
      <c r="K9" s="1" t="s">
        <v>2</v>
      </c>
      <c r="M9" s="1" t="s">
        <v>328</v>
      </c>
      <c r="N9" s="1" t="s">
        <v>328</v>
      </c>
      <c r="O9" s="1" t="s">
        <v>328</v>
      </c>
    </row>
    <row r="10" customFormat="false" ht="12.8" hidden="false" customHeight="false" outlineLevel="0" collapsed="false">
      <c r="D10" s="26" t="n">
        <v>43891</v>
      </c>
      <c r="E10" s="1" t="s">
        <v>47</v>
      </c>
      <c r="F10" s="1" t="n">
        <v>2</v>
      </c>
      <c r="J10" s="1" t="s">
        <v>331</v>
      </c>
      <c r="K10" s="1" t="s">
        <v>332</v>
      </c>
      <c r="L10" s="1" t="s">
        <v>333</v>
      </c>
      <c r="M10" s="1" t="s">
        <v>328</v>
      </c>
      <c r="N10" s="1" t="s">
        <v>328</v>
      </c>
      <c r="O10" s="1" t="s">
        <v>328</v>
      </c>
    </row>
    <row r="11" customFormat="false" ht="12.8" hidden="false" customHeight="false" outlineLevel="0" collapsed="false">
      <c r="C11" s="1" t="s">
        <v>334</v>
      </c>
      <c r="D11" s="26" t="n">
        <v>44501</v>
      </c>
      <c r="E11" s="19" t="s">
        <v>9</v>
      </c>
      <c r="F11" s="1" t="n">
        <v>3</v>
      </c>
      <c r="J11" s="1" t="s">
        <v>328</v>
      </c>
      <c r="K11" s="1" t="s">
        <v>335</v>
      </c>
      <c r="L11" s="1" t="s">
        <v>336</v>
      </c>
      <c r="M11" s="1" t="s">
        <v>337</v>
      </c>
      <c r="N11" s="1" t="s">
        <v>328</v>
      </c>
      <c r="O11" s="1" t="s">
        <v>328</v>
      </c>
    </row>
    <row r="12" customFormat="false" ht="12.8" hidden="false" customHeight="false" outlineLevel="0" collapsed="false">
      <c r="D12" s="26" t="n">
        <v>44682</v>
      </c>
      <c r="E12" s="19" t="s">
        <v>47</v>
      </c>
      <c r="F12" s="1" t="n">
        <v>4</v>
      </c>
      <c r="J12" s="1" t="s">
        <v>328</v>
      </c>
      <c r="K12" s="1" t="s">
        <v>328</v>
      </c>
      <c r="L12" s="1" t="s">
        <v>338</v>
      </c>
      <c r="M12" s="1" t="n">
        <v>1</v>
      </c>
      <c r="N12" s="1" t="s">
        <v>339</v>
      </c>
      <c r="O12" s="1" t="s">
        <v>328</v>
      </c>
    </row>
    <row r="13" customFormat="false" ht="12.8" hidden="false" customHeight="false" outlineLevel="0" collapsed="false">
      <c r="D13" s="27" t="n">
        <v>45962</v>
      </c>
      <c r="E13" s="21" t="s">
        <v>9</v>
      </c>
      <c r="F13" s="21" t="n">
        <v>1</v>
      </c>
      <c r="J13" s="1" t="s">
        <v>328</v>
      </c>
      <c r="K13" s="1" t="s">
        <v>328</v>
      </c>
      <c r="L13" s="1" t="s">
        <v>340</v>
      </c>
      <c r="M13" s="1" t="n">
        <v>2</v>
      </c>
      <c r="N13" s="1" t="n">
        <v>1</v>
      </c>
      <c r="O13" s="1" t="s">
        <v>3</v>
      </c>
    </row>
    <row r="14" customFormat="false" ht="12.8" hidden="false" customHeight="false" outlineLevel="0" collapsed="false">
      <c r="E14" s="21" t="s">
        <v>47</v>
      </c>
      <c r="J14" s="1" t="s">
        <v>328</v>
      </c>
      <c r="K14" s="1" t="s">
        <v>328</v>
      </c>
      <c r="L14" s="1" t="s">
        <v>328</v>
      </c>
      <c r="M14" s="1" t="n">
        <v>3</v>
      </c>
      <c r="N14" s="1" t="n">
        <v>2</v>
      </c>
      <c r="O14" s="1" t="n">
        <v>1</v>
      </c>
    </row>
    <row r="15" customFormat="false" ht="12.8" hidden="false" customHeight="false" outlineLevel="0" collapsed="false">
      <c r="A15" s="23"/>
      <c r="B15" s="23"/>
      <c r="C15" s="23"/>
      <c r="D15" s="23"/>
      <c r="J15" s="1" t="s">
        <v>328</v>
      </c>
      <c r="K15" s="1" t="s">
        <v>328</v>
      </c>
      <c r="L15" s="1" t="s">
        <v>328</v>
      </c>
      <c r="M15" s="1" t="n">
        <v>4</v>
      </c>
      <c r="N15" s="1" t="n">
        <v>3</v>
      </c>
      <c r="O15" s="1" t="n">
        <v>2</v>
      </c>
    </row>
    <row r="16" customFormat="false" ht="12.8" hidden="false" customHeight="false" outlineLevel="0" collapsed="false">
      <c r="A16" s="23"/>
      <c r="B16" s="23"/>
      <c r="C16" s="23"/>
      <c r="D16" s="23" t="s">
        <v>341</v>
      </c>
      <c r="J16" s="1" t="s">
        <v>328</v>
      </c>
      <c r="K16" s="1" t="s">
        <v>328</v>
      </c>
      <c r="L16" s="1" t="s">
        <v>328</v>
      </c>
      <c r="M16" s="1" t="n">
        <v>5</v>
      </c>
      <c r="N16" s="1" t="s">
        <v>328</v>
      </c>
      <c r="O16" s="1" t="n">
        <v>3</v>
      </c>
    </row>
    <row r="17" customFormat="false" ht="12.8" hidden="false" customHeight="false" outlineLevel="0" collapsed="false">
      <c r="A17" s="23" t="s">
        <v>342</v>
      </c>
      <c r="B17" s="23" t="s">
        <v>343</v>
      </c>
      <c r="C17" s="23" t="s">
        <v>344</v>
      </c>
      <c r="D17" s="28" t="s">
        <v>345</v>
      </c>
      <c r="J17" s="1" t="s">
        <v>328</v>
      </c>
      <c r="K17" s="1" t="s">
        <v>328</v>
      </c>
      <c r="L17" s="1" t="s">
        <v>328</v>
      </c>
      <c r="M17" s="1" t="n">
        <v>6</v>
      </c>
      <c r="N17" s="1" t="s">
        <v>328</v>
      </c>
      <c r="O17" s="1" t="n">
        <v>4</v>
      </c>
    </row>
    <row r="18" customFormat="false" ht="12.8" hidden="false" customHeight="false" outlineLevel="0" collapsed="false">
      <c r="A18" s="23" t="s">
        <v>346</v>
      </c>
      <c r="B18" s="23" t="s">
        <v>347</v>
      </c>
      <c r="C18" s="23" t="s">
        <v>348</v>
      </c>
      <c r="D18" s="28" t="s">
        <v>349</v>
      </c>
      <c r="J18" s="1" t="s">
        <v>328</v>
      </c>
      <c r="K18" s="1" t="s">
        <v>328</v>
      </c>
      <c r="L18" s="1" t="s">
        <v>328</v>
      </c>
      <c r="M18" s="1" t="n">
        <v>7</v>
      </c>
      <c r="N18" s="1" t="s">
        <v>328</v>
      </c>
      <c r="O18" s="1" t="s">
        <v>328</v>
      </c>
    </row>
    <row r="19" customFormat="false" ht="12.8" hidden="false" customHeight="false" outlineLevel="0" collapsed="false">
      <c r="A19" s="23" t="s">
        <v>350</v>
      </c>
      <c r="B19" s="23" t="s">
        <v>351</v>
      </c>
      <c r="C19" s="23" t="s">
        <v>352</v>
      </c>
      <c r="D19" s="28" t="s">
        <v>353</v>
      </c>
      <c r="J19" s="1" t="s">
        <v>328</v>
      </c>
      <c r="K19" s="1" t="s">
        <v>328</v>
      </c>
      <c r="L19" s="1" t="s">
        <v>328</v>
      </c>
      <c r="M19" s="1" t="n">
        <v>8</v>
      </c>
      <c r="N19" s="1" t="s">
        <v>328</v>
      </c>
      <c r="O19" s="1" t="s">
        <v>328</v>
      </c>
    </row>
    <row r="20" customFormat="false" ht="12.8" hidden="false" customHeight="false" outlineLevel="0" collapsed="false">
      <c r="A20" s="23"/>
      <c r="B20" s="23"/>
      <c r="C20" s="23" t="s">
        <v>354</v>
      </c>
      <c r="D20" s="28" t="s">
        <v>353</v>
      </c>
      <c r="J20" s="1" t="s">
        <v>328</v>
      </c>
      <c r="K20" s="1" t="s">
        <v>328</v>
      </c>
      <c r="L20" s="1" t="s">
        <v>328</v>
      </c>
      <c r="M20" s="1" t="n">
        <v>9</v>
      </c>
      <c r="N20" s="1" t="s">
        <v>328</v>
      </c>
      <c r="O20" s="1" t="s">
        <v>328</v>
      </c>
    </row>
    <row r="21" customFormat="false" ht="12.8" hidden="false" customHeight="false" outlineLevel="0" collapsed="false">
      <c r="A21" s="23"/>
      <c r="B21" s="23"/>
      <c r="C21" s="23" t="s">
        <v>355</v>
      </c>
      <c r="D21" s="28" t="s">
        <v>356</v>
      </c>
    </row>
    <row r="22" customFormat="false" ht="12.8" hidden="false" customHeight="false" outlineLevel="0" collapsed="false">
      <c r="A22" s="23"/>
      <c r="B22" s="23"/>
      <c r="C22" s="23" t="s">
        <v>357</v>
      </c>
      <c r="D22" s="28" t="s">
        <v>358</v>
      </c>
      <c r="J22" s="1" t="s">
        <v>359</v>
      </c>
      <c r="K22" s="1" t="s">
        <v>360</v>
      </c>
    </row>
    <row r="23" customFormat="false" ht="12.8" hidden="false" customHeight="false" outlineLevel="0" collapsed="false">
      <c r="A23" s="23"/>
      <c r="B23" s="23"/>
      <c r="C23" s="23" t="s">
        <v>361</v>
      </c>
      <c r="D23" s="28" t="s">
        <v>362</v>
      </c>
    </row>
    <row r="24" customFormat="false" ht="12.8" hidden="false" customHeight="false" outlineLevel="0" collapsed="false">
      <c r="A24" s="23"/>
      <c r="B24" s="23"/>
      <c r="C24" s="23" t="s">
        <v>363</v>
      </c>
      <c r="D24" s="28" t="s">
        <v>364</v>
      </c>
    </row>
    <row r="25" customFormat="false" ht="12.8" hidden="false" customHeight="false" outlineLevel="0" collapsed="false">
      <c r="A25" s="23"/>
      <c r="B25" s="23"/>
      <c r="C25" s="23" t="s">
        <v>365</v>
      </c>
      <c r="D25" s="28" t="s">
        <v>366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43"/>
    <col collapsed="false" customWidth="false" hidden="false" outlineLevel="0" max="2" min="2" style="1" width="11.53"/>
    <col collapsed="false" customWidth="true" hidden="false" outlineLevel="0" max="3" min="3" style="1" width="52.94"/>
    <col collapsed="false" customWidth="true" hidden="false" outlineLevel="0" max="4" min="4" style="1" width="16.74"/>
    <col collapsed="false" customWidth="false" hidden="false" outlineLevel="0" max="12" min="5" style="1" width="11.53"/>
    <col collapsed="false" customWidth="true" hidden="false" outlineLevel="0" max="13" min="13" style="1" width="31.7"/>
    <col collapsed="false" customWidth="false" hidden="false" outlineLevel="0" max="16384" min="14" style="1" width="11.53"/>
  </cols>
  <sheetData>
    <row r="1" customFormat="false" ht="12.8" hidden="false" customHeight="false" outlineLevel="0" collapsed="false">
      <c r="A1" s="17" t="s">
        <v>367</v>
      </c>
      <c r="F1" s="12" t="s">
        <v>368</v>
      </c>
      <c r="G1" s="29"/>
      <c r="H1" s="29"/>
      <c r="I1" s="29"/>
      <c r="J1" s="29"/>
      <c r="K1" s="17"/>
      <c r="L1" s="12"/>
      <c r="M1" s="9"/>
    </row>
    <row r="2" customFormat="false" ht="13.25" hidden="false" customHeight="false" outlineLevel="0" collapsed="false">
      <c r="A2" s="12" t="str">
        <f aca="false">"total = "&amp;SUM(B4:B92)</f>
        <v>total = 59</v>
      </c>
      <c r="C2" s="17" t="s">
        <v>369</v>
      </c>
      <c r="F2" s="30" t="s">
        <v>370</v>
      </c>
      <c r="G2" s="29"/>
      <c r="H2" s="29"/>
      <c r="I2" s="29"/>
      <c r="J2" s="29"/>
      <c r="K2" s="12"/>
      <c r="L2" s="12"/>
      <c r="M2" s="17"/>
    </row>
    <row r="3" customFormat="false" ht="13.25" hidden="false" customHeight="false" outlineLevel="0" collapsed="false">
      <c r="A3" s="17" t="str">
        <f aca="false">"Rotifera = "&amp;SUM(B3:B61)</f>
        <v>Rotifera = 41</v>
      </c>
      <c r="C3" s="17" t="s">
        <v>371</v>
      </c>
      <c r="F3" s="30" t="s">
        <v>372</v>
      </c>
      <c r="G3" s="29"/>
      <c r="H3" s="29"/>
      <c r="I3" s="29"/>
      <c r="J3" s="29"/>
      <c r="K3" s="17"/>
      <c r="L3" s="12"/>
      <c r="M3" s="17"/>
    </row>
    <row r="4" customFormat="false" ht="13.25" hidden="false" customHeight="false" outlineLevel="0" collapsed="false">
      <c r="A4" s="17" t="str">
        <f aca="false">"Cladocera = "&amp;SUM(B65:B82)</f>
        <v>Cladocera = 14</v>
      </c>
      <c r="B4" s="1" t="n">
        <v>1</v>
      </c>
      <c r="C4" s="12" t="s">
        <v>158</v>
      </c>
      <c r="D4" s="1" t="s">
        <v>158</v>
      </c>
      <c r="F4" s="30" t="s">
        <v>373</v>
      </c>
      <c r="G4" s="29"/>
      <c r="H4" s="29"/>
      <c r="I4" s="29"/>
      <c r="J4" s="29"/>
      <c r="K4" s="17"/>
      <c r="L4" s="12"/>
      <c r="M4" s="12"/>
    </row>
    <row r="5" customFormat="false" ht="13.25" hidden="false" customHeight="false" outlineLevel="0" collapsed="false">
      <c r="A5" s="17" t="str">
        <f aca="false">"Copepoda = "&amp;SUM(B83:B92)</f>
        <v>Copepoda = 4</v>
      </c>
      <c r="B5" s="1" t="n">
        <v>0</v>
      </c>
      <c r="C5" s="17" t="s">
        <v>374</v>
      </c>
      <c r="F5" s="12" t="s">
        <v>375</v>
      </c>
      <c r="G5" s="29"/>
      <c r="H5" s="29"/>
      <c r="I5" s="29"/>
      <c r="J5" s="29"/>
      <c r="K5" s="17"/>
      <c r="L5" s="12"/>
      <c r="M5" s="17"/>
    </row>
    <row r="6" customFormat="false" ht="13.25" hidden="false" customHeight="false" outlineLevel="0" collapsed="false">
      <c r="A6" s="12" t="str">
        <f aca="false">"Rot spp = "&amp;SUM(B5:B61)</f>
        <v>Rot spp = 40</v>
      </c>
      <c r="B6" s="1" t="n">
        <v>1</v>
      </c>
      <c r="C6" s="13" t="s">
        <v>165</v>
      </c>
      <c r="D6" s="13" t="s">
        <v>220</v>
      </c>
      <c r="F6" s="12" t="s">
        <v>376</v>
      </c>
      <c r="G6" s="29"/>
      <c r="H6" s="29"/>
      <c r="I6" s="29"/>
      <c r="J6" s="29"/>
      <c r="K6" s="12"/>
      <c r="L6" s="12"/>
      <c r="M6" s="12"/>
    </row>
    <row r="7" customFormat="false" ht="12.8" hidden="false" customHeight="false" outlineLevel="0" collapsed="false">
      <c r="A7" s="12" t="str">
        <f aca="false">"Rot fam = "&amp;COUNTIF(B4:B61,"0")</f>
        <v>Rot fam = 17</v>
      </c>
      <c r="B7" s="1" t="n">
        <v>0</v>
      </c>
      <c r="C7" s="4" t="s">
        <v>377</v>
      </c>
      <c r="F7" s="12" t="s">
        <v>378</v>
      </c>
      <c r="G7" s="29"/>
      <c r="H7" s="29"/>
      <c r="I7" s="29"/>
      <c r="J7" s="29"/>
      <c r="K7" s="12"/>
      <c r="L7" s="12"/>
      <c r="M7" s="17"/>
    </row>
    <row r="8" customFormat="false" ht="12.8" hidden="false" customHeight="false" outlineLevel="0" collapsed="false">
      <c r="A8" s="1" t="str">
        <f aca="false">"Bra = "&amp;SUM(B11:B27)</f>
        <v>Bra = 16</v>
      </c>
      <c r="B8" s="1" t="n">
        <v>0</v>
      </c>
      <c r="C8" s="4" t="s">
        <v>379</v>
      </c>
      <c r="F8" s="12"/>
      <c r="H8" s="29"/>
      <c r="J8" s="29"/>
      <c r="K8" s="12"/>
      <c r="L8" s="12"/>
      <c r="M8" s="12"/>
    </row>
    <row r="9" customFormat="false" ht="12.8" hidden="false" customHeight="false" outlineLevel="0" collapsed="false">
      <c r="A9" s="1" t="str">
        <f aca="false">"Lec = "&amp;SUM(B32:B42)</f>
        <v>Lec = 10</v>
      </c>
      <c r="B9" s="1" t="n">
        <v>0</v>
      </c>
      <c r="C9" s="4" t="s">
        <v>380</v>
      </c>
      <c r="F9" s="12"/>
      <c r="H9" s="29"/>
      <c r="J9" s="29"/>
      <c r="K9" s="12"/>
      <c r="L9" s="12"/>
      <c r="M9" s="12"/>
    </row>
    <row r="10" customFormat="false" ht="12.8" hidden="false" customHeight="false" outlineLevel="0" collapsed="false">
      <c r="A10" s="1" t="str">
        <f aca="false">"Chy = "&amp;SUM(B65:B76)</f>
        <v>Chy = 11</v>
      </c>
      <c r="B10" s="1" t="n">
        <v>1</v>
      </c>
      <c r="C10" s="1" t="s">
        <v>381</v>
      </c>
      <c r="D10" s="1" t="s">
        <v>382</v>
      </c>
      <c r="F10" s="12"/>
      <c r="H10" s="29"/>
      <c r="J10" s="29"/>
      <c r="K10" s="12"/>
      <c r="L10" s="12"/>
      <c r="M10" s="12"/>
    </row>
    <row r="11" customFormat="false" ht="12.8" hidden="false" customHeight="false" outlineLevel="0" collapsed="false">
      <c r="A11" s="3"/>
      <c r="B11" s="1" t="n">
        <v>0</v>
      </c>
      <c r="C11" s="4" t="s">
        <v>383</v>
      </c>
      <c r="F11" s="12"/>
      <c r="H11" s="29"/>
      <c r="J11" s="29"/>
      <c r="K11" s="12"/>
      <c r="L11" s="9"/>
      <c r="M11" s="17"/>
    </row>
    <row r="12" customFormat="false" ht="12.8" hidden="false" customHeight="false" outlineLevel="0" collapsed="false">
      <c r="A12" s="3"/>
      <c r="B12" s="1" t="n">
        <v>1</v>
      </c>
      <c r="C12" s="1" t="s">
        <v>159</v>
      </c>
      <c r="D12" s="1" t="s">
        <v>214</v>
      </c>
      <c r="F12" s="12"/>
      <c r="H12" s="29"/>
      <c r="J12" s="29"/>
      <c r="K12" s="12"/>
      <c r="L12" s="9"/>
      <c r="M12" s="13"/>
    </row>
    <row r="13" customFormat="false" ht="12.8" hidden="false" customHeight="false" outlineLevel="0" collapsed="false">
      <c r="B13" s="1" t="n">
        <v>1</v>
      </c>
      <c r="C13" s="1" t="s">
        <v>160</v>
      </c>
      <c r="D13" s="1" t="s">
        <v>215</v>
      </c>
      <c r="F13" s="12"/>
      <c r="H13" s="29"/>
      <c r="J13" s="29"/>
      <c r="K13" s="12"/>
      <c r="L13" s="12"/>
      <c r="M13" s="17"/>
    </row>
    <row r="14" customFormat="false" ht="12.8" hidden="false" customHeight="false" outlineLevel="0" collapsed="false">
      <c r="B14" s="1" t="n">
        <v>1</v>
      </c>
      <c r="C14" s="1" t="s">
        <v>161</v>
      </c>
      <c r="D14" s="1" t="s">
        <v>216</v>
      </c>
      <c r="F14" s="12"/>
      <c r="H14" s="29"/>
      <c r="J14" s="29"/>
      <c r="K14" s="12"/>
      <c r="L14" s="12"/>
      <c r="M14" s="17"/>
    </row>
    <row r="15" customFormat="false" ht="12.8" hidden="false" customHeight="false" outlineLevel="0" collapsed="false">
      <c r="B15" s="1" t="n">
        <v>1</v>
      </c>
      <c r="C15" s="1" t="s">
        <v>162</v>
      </c>
      <c r="D15" s="1" t="s">
        <v>217</v>
      </c>
      <c r="F15" s="12"/>
      <c r="H15" s="29"/>
      <c r="I15" s="29"/>
      <c r="J15" s="29"/>
      <c r="K15" s="12"/>
      <c r="L15" s="12"/>
      <c r="M15" s="17"/>
    </row>
    <row r="16" customFormat="false" ht="12.8" hidden="false" customHeight="false" outlineLevel="0" collapsed="false">
      <c r="B16" s="1" t="n">
        <v>1</v>
      </c>
      <c r="C16" s="1" t="s">
        <v>163</v>
      </c>
      <c r="D16" s="1" t="s">
        <v>384</v>
      </c>
      <c r="F16" s="12"/>
      <c r="I16" s="29"/>
      <c r="J16" s="29"/>
      <c r="K16" s="12"/>
      <c r="L16" s="12"/>
      <c r="M16" s="17"/>
    </row>
    <row r="17" customFormat="false" ht="12.8" hidden="false" customHeight="false" outlineLevel="0" collapsed="false">
      <c r="B17" s="1" t="n">
        <v>1</v>
      </c>
      <c r="C17" s="1" t="s">
        <v>164</v>
      </c>
      <c r="D17" s="1" t="s">
        <v>219</v>
      </c>
      <c r="F17" s="12"/>
      <c r="I17" s="29"/>
      <c r="J17" s="29"/>
      <c r="K17" s="12"/>
      <c r="L17" s="12"/>
      <c r="M17" s="12"/>
    </row>
    <row r="18" customFormat="false" ht="12.8" hidden="false" customHeight="false" outlineLevel="0" collapsed="false">
      <c r="B18" s="1" t="n">
        <v>1</v>
      </c>
      <c r="C18" s="1" t="s">
        <v>385</v>
      </c>
      <c r="D18" s="1" t="s">
        <v>386</v>
      </c>
      <c r="F18" s="12"/>
      <c r="I18" s="29"/>
      <c r="J18" s="29"/>
      <c r="K18" s="12"/>
      <c r="L18" s="12"/>
      <c r="M18" s="12"/>
    </row>
    <row r="19" customFormat="false" ht="12.8" hidden="false" customHeight="false" outlineLevel="0" collapsed="false">
      <c r="B19" s="1" t="n">
        <v>1</v>
      </c>
      <c r="C19" s="1" t="s">
        <v>387</v>
      </c>
      <c r="D19" s="1" t="s">
        <v>388</v>
      </c>
      <c r="F19" s="12"/>
      <c r="I19" s="29"/>
      <c r="J19" s="29"/>
      <c r="K19" s="12"/>
      <c r="L19" s="12"/>
      <c r="M19" s="12"/>
    </row>
    <row r="20" customFormat="false" ht="12.8" hidden="false" customHeight="false" outlineLevel="0" collapsed="false">
      <c r="B20" s="1" t="n">
        <v>1</v>
      </c>
      <c r="C20" s="1" t="s">
        <v>178</v>
      </c>
      <c r="D20" s="1" t="s">
        <v>232</v>
      </c>
      <c r="F20" s="12"/>
      <c r="I20" s="29"/>
      <c r="J20" s="29"/>
      <c r="K20" s="12"/>
      <c r="L20" s="12"/>
      <c r="M20" s="12"/>
    </row>
    <row r="21" customFormat="false" ht="12.8" hidden="false" customHeight="false" outlineLevel="0" collapsed="false">
      <c r="B21" s="1" t="n">
        <v>1</v>
      </c>
      <c r="C21" s="1" t="s">
        <v>179</v>
      </c>
      <c r="D21" s="1" t="s">
        <v>233</v>
      </c>
      <c r="F21" s="12"/>
      <c r="I21" s="29"/>
      <c r="J21" s="29"/>
      <c r="K21" s="12"/>
      <c r="L21" s="12"/>
      <c r="M21" s="12"/>
    </row>
    <row r="22" customFormat="false" ht="12.8" hidden="false" customHeight="false" outlineLevel="0" collapsed="false">
      <c r="B22" s="1" t="n">
        <v>1</v>
      </c>
      <c r="C22" s="1" t="s">
        <v>180</v>
      </c>
      <c r="D22" s="1" t="s">
        <v>234</v>
      </c>
      <c r="F22" s="12"/>
      <c r="I22" s="29"/>
      <c r="J22" s="29"/>
      <c r="K22" s="12"/>
      <c r="L22" s="12"/>
      <c r="M22" s="12"/>
    </row>
    <row r="23" customFormat="false" ht="12.8" hidden="false" customHeight="false" outlineLevel="0" collapsed="false">
      <c r="B23" s="1" t="n">
        <v>1</v>
      </c>
      <c r="C23" s="1" t="s">
        <v>181</v>
      </c>
      <c r="D23" s="1" t="s">
        <v>235</v>
      </c>
      <c r="F23" s="12"/>
      <c r="I23" s="29"/>
      <c r="J23" s="29"/>
      <c r="K23" s="12"/>
      <c r="L23" s="12"/>
      <c r="M23" s="12"/>
    </row>
    <row r="24" customFormat="false" ht="12.8" hidden="false" customHeight="false" outlineLevel="0" collapsed="false">
      <c r="B24" s="1" t="n">
        <v>1</v>
      </c>
      <c r="C24" s="1" t="s">
        <v>206</v>
      </c>
      <c r="D24" s="1" t="s">
        <v>259</v>
      </c>
      <c r="F24" s="12"/>
      <c r="I24" s="29"/>
      <c r="J24" s="29"/>
      <c r="K24" s="12"/>
      <c r="L24" s="12"/>
      <c r="M24" s="12"/>
    </row>
    <row r="25" customFormat="false" ht="13.25" hidden="false" customHeight="false" outlineLevel="0" collapsed="false">
      <c r="B25" s="1" t="n">
        <v>1</v>
      </c>
      <c r="C25" s="15" t="s">
        <v>204</v>
      </c>
      <c r="D25" s="1" t="s">
        <v>257</v>
      </c>
      <c r="F25" s="12"/>
      <c r="I25" s="29"/>
      <c r="J25" s="29"/>
      <c r="K25" s="12"/>
      <c r="L25" s="12"/>
      <c r="M25" s="12"/>
    </row>
    <row r="26" customFormat="false" ht="12.8" hidden="false" customHeight="false" outlineLevel="0" collapsed="false">
      <c r="B26" s="1" t="n">
        <v>1</v>
      </c>
      <c r="C26" s="1" t="s">
        <v>205</v>
      </c>
      <c r="D26" s="1" t="s">
        <v>258</v>
      </c>
      <c r="F26" s="12"/>
      <c r="G26" s="29"/>
      <c r="H26" s="29"/>
      <c r="I26" s="29"/>
      <c r="J26" s="29"/>
      <c r="K26" s="12"/>
      <c r="L26" s="12"/>
      <c r="M26" s="12"/>
    </row>
    <row r="27" customFormat="false" ht="12.8" hidden="false" customHeight="false" outlineLevel="0" collapsed="false">
      <c r="B27" s="1" t="n">
        <v>1</v>
      </c>
      <c r="C27" s="1" t="s">
        <v>207</v>
      </c>
      <c r="D27" s="1" t="s">
        <v>260</v>
      </c>
      <c r="F27" s="12"/>
      <c r="G27" s="29"/>
      <c r="H27" s="29"/>
      <c r="I27" s="29"/>
      <c r="J27" s="29"/>
      <c r="K27" s="12"/>
      <c r="L27" s="12"/>
      <c r="M27" s="12"/>
    </row>
    <row r="28" customFormat="false" ht="12.8" hidden="false" customHeight="false" outlineLevel="0" collapsed="false">
      <c r="B28" s="1" t="n">
        <v>0</v>
      </c>
      <c r="C28" s="4" t="s">
        <v>389</v>
      </c>
      <c r="F28" s="12"/>
      <c r="G28" s="29"/>
      <c r="H28" s="29"/>
      <c r="I28" s="29"/>
      <c r="J28" s="29"/>
      <c r="K28" s="12"/>
      <c r="L28" s="12"/>
      <c r="M28" s="12"/>
    </row>
    <row r="29" customFormat="false" ht="12.8" hidden="false" customHeight="false" outlineLevel="0" collapsed="false">
      <c r="B29" s="1" t="n">
        <v>1</v>
      </c>
      <c r="C29" s="1" t="s">
        <v>170</v>
      </c>
      <c r="D29" s="1" t="s">
        <v>224</v>
      </c>
      <c r="F29" s="12"/>
      <c r="G29" s="29"/>
      <c r="H29" s="29"/>
      <c r="I29" s="29"/>
      <c r="J29" s="29"/>
      <c r="K29" s="12"/>
      <c r="L29" s="12"/>
      <c r="M29" s="12"/>
    </row>
    <row r="30" customFormat="false" ht="13.25" hidden="false" customHeight="false" outlineLevel="0" collapsed="false">
      <c r="B30" s="1" t="n">
        <v>0</v>
      </c>
      <c r="C30" s="31" t="s">
        <v>390</v>
      </c>
      <c r="F30" s="12"/>
      <c r="G30" s="29"/>
      <c r="H30" s="29"/>
      <c r="I30" s="29"/>
      <c r="J30" s="29"/>
      <c r="K30" s="12"/>
      <c r="L30" s="12"/>
      <c r="M30" s="12"/>
    </row>
    <row r="31" customFormat="false" ht="12.8" hidden="false" customHeight="false" outlineLevel="0" collapsed="false">
      <c r="B31" s="1" t="n">
        <v>1</v>
      </c>
      <c r="C31" s="1" t="s">
        <v>174</v>
      </c>
      <c r="D31" s="1" t="s">
        <v>228</v>
      </c>
      <c r="F31" s="12"/>
      <c r="G31" s="29"/>
      <c r="H31" s="29"/>
      <c r="I31" s="29"/>
      <c r="J31" s="29"/>
      <c r="K31" s="12"/>
      <c r="L31" s="12"/>
      <c r="M31" s="12"/>
    </row>
    <row r="32" customFormat="false" ht="12.8" hidden="false" customHeight="false" outlineLevel="0" collapsed="false">
      <c r="B32" s="1" t="n">
        <v>0</v>
      </c>
      <c r="C32" s="4" t="s">
        <v>391</v>
      </c>
      <c r="F32" s="12"/>
      <c r="G32" s="29"/>
      <c r="H32" s="29"/>
      <c r="I32" s="29"/>
      <c r="J32" s="29"/>
      <c r="K32" s="12"/>
      <c r="L32" s="12"/>
      <c r="M32" s="12"/>
    </row>
    <row r="33" customFormat="false" ht="12.8" hidden="false" customHeight="false" outlineLevel="0" collapsed="false">
      <c r="B33" s="1" t="n">
        <v>1</v>
      </c>
      <c r="C33" s="1" t="s">
        <v>183</v>
      </c>
      <c r="D33" s="1" t="s">
        <v>237</v>
      </c>
      <c r="F33" s="12"/>
      <c r="G33" s="29"/>
      <c r="H33" s="29"/>
      <c r="I33" s="29"/>
      <c r="J33" s="29"/>
      <c r="K33" s="12"/>
      <c r="L33" s="12"/>
      <c r="M33" s="12"/>
    </row>
    <row r="34" customFormat="false" ht="12.8" hidden="false" customHeight="false" outlineLevel="0" collapsed="false">
      <c r="B34" s="1" t="n">
        <v>1</v>
      </c>
      <c r="C34" s="1" t="s">
        <v>184</v>
      </c>
      <c r="D34" s="1" t="s">
        <v>238</v>
      </c>
      <c r="F34" s="12"/>
      <c r="G34" s="29"/>
      <c r="H34" s="29"/>
      <c r="I34" s="29"/>
      <c r="J34" s="29"/>
      <c r="K34" s="12"/>
      <c r="L34" s="9"/>
      <c r="M34" s="32"/>
    </row>
    <row r="35" customFormat="false" ht="12.8" hidden="false" customHeight="false" outlineLevel="0" collapsed="false">
      <c r="B35" s="1" t="n">
        <v>1</v>
      </c>
      <c r="C35" s="1" t="s">
        <v>185</v>
      </c>
      <c r="D35" s="1" t="s">
        <v>239</v>
      </c>
      <c r="F35" s="12"/>
      <c r="G35" s="29"/>
      <c r="H35" s="29"/>
      <c r="I35" s="29"/>
      <c r="J35" s="29"/>
      <c r="K35" s="12"/>
      <c r="L35" s="9"/>
      <c r="M35" s="32"/>
    </row>
    <row r="36" customFormat="false" ht="12.8" hidden="false" customHeight="false" outlineLevel="0" collapsed="false">
      <c r="B36" s="1" t="n">
        <v>1</v>
      </c>
      <c r="C36" s="1" t="s">
        <v>186</v>
      </c>
      <c r="D36" s="1" t="s">
        <v>240</v>
      </c>
      <c r="F36" s="12"/>
      <c r="G36" s="29"/>
      <c r="H36" s="29"/>
      <c r="I36" s="29"/>
      <c r="J36" s="29"/>
      <c r="K36" s="12"/>
      <c r="L36" s="9"/>
      <c r="M36" s="32"/>
    </row>
    <row r="37" customFormat="false" ht="12.8" hidden="false" customHeight="false" outlineLevel="0" collapsed="false">
      <c r="B37" s="1" t="n">
        <v>1</v>
      </c>
      <c r="C37" s="1" t="s">
        <v>187</v>
      </c>
      <c r="D37" s="1" t="s">
        <v>241</v>
      </c>
      <c r="F37" s="12"/>
      <c r="G37" s="29"/>
      <c r="H37" s="29"/>
      <c r="I37" s="29"/>
      <c r="J37" s="29"/>
      <c r="K37" s="12"/>
      <c r="L37" s="12"/>
      <c r="M37" s="17"/>
    </row>
    <row r="38" customFormat="false" ht="12.8" hidden="false" customHeight="false" outlineLevel="0" collapsed="false">
      <c r="B38" s="1" t="n">
        <v>1</v>
      </c>
      <c r="C38" s="1" t="s">
        <v>188</v>
      </c>
      <c r="D38" s="1" t="s">
        <v>242</v>
      </c>
      <c r="F38" s="12"/>
      <c r="H38" s="29"/>
      <c r="I38" s="29"/>
      <c r="J38" s="29"/>
      <c r="K38" s="12"/>
      <c r="L38" s="9"/>
      <c r="M38" s="13"/>
    </row>
    <row r="39" customFormat="false" ht="12.8" hidden="false" customHeight="false" outlineLevel="0" collapsed="false">
      <c r="B39" s="1" t="n">
        <v>1</v>
      </c>
      <c r="C39" s="1" t="s">
        <v>189</v>
      </c>
      <c r="D39" s="1" t="s">
        <v>243</v>
      </c>
      <c r="F39" s="12"/>
      <c r="H39" s="29"/>
      <c r="I39" s="29"/>
      <c r="J39" s="29"/>
      <c r="K39" s="12"/>
      <c r="L39" s="12"/>
      <c r="M39" s="12"/>
    </row>
    <row r="40" customFormat="false" ht="12.8" hidden="false" customHeight="false" outlineLevel="0" collapsed="false">
      <c r="B40" s="1" t="n">
        <v>1</v>
      </c>
      <c r="C40" s="1" t="s">
        <v>190</v>
      </c>
      <c r="D40" s="1" t="s">
        <v>244</v>
      </c>
      <c r="F40" s="12"/>
      <c r="H40" s="29"/>
      <c r="I40" s="29"/>
      <c r="J40" s="29"/>
      <c r="K40" s="12"/>
      <c r="L40" s="12"/>
      <c r="M40" s="17"/>
    </row>
    <row r="41" customFormat="false" ht="12.8" hidden="false" customHeight="false" outlineLevel="0" collapsed="false">
      <c r="B41" s="1" t="n">
        <v>1</v>
      </c>
      <c r="C41" s="1" t="s">
        <v>191</v>
      </c>
      <c r="D41" s="1" t="s">
        <v>245</v>
      </c>
      <c r="F41" s="12"/>
      <c r="G41" s="29"/>
      <c r="H41" s="29"/>
      <c r="I41" s="29"/>
      <c r="J41" s="29"/>
      <c r="K41" s="12"/>
      <c r="L41" s="12"/>
      <c r="M41" s="12"/>
    </row>
    <row r="42" customFormat="false" ht="12.8" hidden="false" customHeight="false" outlineLevel="0" collapsed="false">
      <c r="B42" s="1" t="n">
        <v>1</v>
      </c>
      <c r="C42" s="1" t="s">
        <v>192</v>
      </c>
      <c r="D42" s="1" t="s">
        <v>246</v>
      </c>
      <c r="F42" s="12"/>
      <c r="G42" s="29"/>
      <c r="H42" s="29"/>
      <c r="I42" s="29"/>
      <c r="J42" s="29"/>
      <c r="K42" s="12"/>
      <c r="L42" s="12"/>
      <c r="M42" s="12"/>
    </row>
    <row r="43" customFormat="false" ht="13.25" hidden="false" customHeight="false" outlineLevel="0" collapsed="false">
      <c r="B43" s="1" t="n">
        <v>0</v>
      </c>
      <c r="C43" s="31" t="s">
        <v>392</v>
      </c>
      <c r="F43" s="12"/>
      <c r="G43" s="29"/>
      <c r="H43" s="29"/>
      <c r="I43" s="29"/>
      <c r="J43" s="29"/>
      <c r="K43" s="12"/>
      <c r="L43" s="9"/>
      <c r="M43" s="33"/>
    </row>
    <row r="44" customFormat="false" ht="13.25" hidden="false" customHeight="false" outlineLevel="0" collapsed="false">
      <c r="B44" s="1" t="n">
        <v>1</v>
      </c>
      <c r="C44" s="15" t="s">
        <v>193</v>
      </c>
      <c r="D44" s="1" t="s">
        <v>247</v>
      </c>
      <c r="F44" s="12"/>
      <c r="G44" s="29"/>
      <c r="H44" s="29"/>
      <c r="I44" s="29"/>
      <c r="J44" s="29"/>
      <c r="K44" s="12"/>
      <c r="L44" s="9"/>
      <c r="M44" s="33"/>
    </row>
    <row r="45" customFormat="false" ht="12.8" hidden="false" customHeight="false" outlineLevel="0" collapsed="false">
      <c r="B45" s="1" t="n">
        <v>1</v>
      </c>
      <c r="C45" s="1" t="s">
        <v>194</v>
      </c>
      <c r="D45" s="1" t="s">
        <v>248</v>
      </c>
      <c r="F45" s="12"/>
      <c r="G45" s="29"/>
      <c r="H45" s="29"/>
      <c r="I45" s="29"/>
      <c r="J45" s="29"/>
      <c r="K45" s="12"/>
      <c r="L45" s="12"/>
      <c r="M45" s="32"/>
    </row>
    <row r="46" customFormat="false" ht="13.25" hidden="false" customHeight="false" outlineLevel="0" collapsed="false">
      <c r="B46" s="1" t="n">
        <v>0</v>
      </c>
      <c r="C46" s="31" t="s">
        <v>393</v>
      </c>
      <c r="F46" s="12"/>
      <c r="G46" s="29"/>
      <c r="H46" s="29"/>
      <c r="I46" s="29"/>
      <c r="J46" s="29"/>
      <c r="K46" s="12"/>
      <c r="L46" s="12"/>
      <c r="M46" s="17"/>
    </row>
    <row r="47" customFormat="false" ht="12.8" hidden="false" customHeight="false" outlineLevel="0" collapsed="false">
      <c r="B47" s="1" t="n">
        <v>1</v>
      </c>
      <c r="C47" s="1" t="s">
        <v>197</v>
      </c>
      <c r="D47" s="1" t="s">
        <v>251</v>
      </c>
      <c r="F47" s="12"/>
      <c r="G47" s="29"/>
      <c r="H47" s="29"/>
      <c r="I47" s="29"/>
      <c r="J47" s="29"/>
      <c r="K47" s="12"/>
      <c r="L47" s="12"/>
      <c r="M47" s="12"/>
    </row>
    <row r="48" customFormat="false" ht="13.25" hidden="false" customHeight="false" outlineLevel="0" collapsed="false">
      <c r="B48" s="1" t="n">
        <v>0</v>
      </c>
      <c r="C48" s="31" t="s">
        <v>394</v>
      </c>
      <c r="F48" s="12"/>
      <c r="G48" s="29"/>
      <c r="H48" s="29"/>
      <c r="I48" s="29"/>
      <c r="J48" s="29"/>
      <c r="K48" s="12"/>
      <c r="L48" s="12"/>
      <c r="M48" s="17"/>
    </row>
    <row r="49" customFormat="false" ht="12.8" hidden="false" customHeight="false" outlineLevel="0" collapsed="false">
      <c r="B49" s="1" t="n">
        <v>1</v>
      </c>
      <c r="C49" s="1" t="s">
        <v>395</v>
      </c>
      <c r="D49" s="1" t="s">
        <v>396</v>
      </c>
      <c r="F49" s="12"/>
      <c r="G49" s="29"/>
      <c r="H49" s="29"/>
      <c r="I49" s="29"/>
      <c r="J49" s="29"/>
      <c r="K49" s="12"/>
      <c r="L49" s="12"/>
      <c r="M49" s="12"/>
    </row>
    <row r="50" customFormat="false" ht="13.25" hidden="false" customHeight="false" outlineLevel="0" collapsed="false">
      <c r="B50" s="1" t="n">
        <v>0</v>
      </c>
      <c r="C50" s="31" t="s">
        <v>397</v>
      </c>
      <c r="F50" s="12"/>
      <c r="G50" s="29"/>
      <c r="H50" s="29"/>
      <c r="I50" s="29"/>
      <c r="J50" s="29"/>
      <c r="K50" s="12"/>
      <c r="L50" s="9"/>
      <c r="M50" s="33"/>
    </row>
    <row r="51" customFormat="false" ht="12.8" hidden="false" customHeight="false" outlineLevel="0" collapsed="false">
      <c r="B51" s="1" t="n">
        <v>1</v>
      </c>
      <c r="C51" s="1" t="s">
        <v>210</v>
      </c>
      <c r="D51" s="1" t="s">
        <v>263</v>
      </c>
      <c r="F51" s="12"/>
      <c r="G51" s="29"/>
      <c r="H51" s="29"/>
      <c r="I51" s="29"/>
      <c r="J51" s="29"/>
      <c r="K51" s="12"/>
      <c r="L51" s="12"/>
      <c r="M51" s="12"/>
    </row>
    <row r="52" customFormat="false" ht="13.25" hidden="false" customHeight="false" outlineLevel="0" collapsed="false">
      <c r="B52" s="1" t="n">
        <v>0</v>
      </c>
      <c r="C52" s="31" t="s">
        <v>393</v>
      </c>
      <c r="F52" s="12"/>
      <c r="G52" s="29"/>
      <c r="H52" s="29"/>
      <c r="I52" s="29"/>
      <c r="J52" s="29"/>
      <c r="K52" s="12"/>
      <c r="L52" s="12"/>
      <c r="M52" s="12"/>
    </row>
    <row r="53" customFormat="false" ht="12.8" hidden="false" customHeight="false" outlineLevel="0" collapsed="false">
      <c r="B53" s="1" t="n">
        <v>1</v>
      </c>
      <c r="C53" s="1" t="s">
        <v>211</v>
      </c>
      <c r="D53" s="1" t="s">
        <v>264</v>
      </c>
      <c r="F53" s="12"/>
      <c r="G53" s="29"/>
      <c r="H53" s="29"/>
      <c r="I53" s="29"/>
      <c r="J53" s="29"/>
      <c r="K53" s="12"/>
      <c r="L53" s="12"/>
      <c r="M53" s="17"/>
    </row>
    <row r="54" customFormat="false" ht="12.8" hidden="false" customHeight="false" outlineLevel="0" collapsed="false">
      <c r="B54" s="1" t="n">
        <v>0</v>
      </c>
      <c r="C54" s="4" t="s">
        <v>398</v>
      </c>
      <c r="F54" s="12"/>
      <c r="G54" s="29"/>
      <c r="H54" s="29"/>
      <c r="I54" s="29"/>
      <c r="J54" s="29"/>
      <c r="K54" s="12"/>
      <c r="L54" s="12"/>
      <c r="M54" s="34"/>
    </row>
    <row r="55" customFormat="false" ht="12.8" hidden="false" customHeight="false" outlineLevel="0" collapsed="false">
      <c r="B55" s="1" t="n">
        <v>0</v>
      </c>
      <c r="C55" s="4" t="s">
        <v>399</v>
      </c>
      <c r="F55" s="12"/>
      <c r="G55" s="29"/>
      <c r="H55" s="29"/>
      <c r="I55" s="29"/>
      <c r="J55" s="29"/>
      <c r="K55" s="12"/>
      <c r="L55" s="12"/>
      <c r="M55" s="17"/>
    </row>
    <row r="56" customFormat="false" ht="12.8" hidden="false" customHeight="false" outlineLevel="0" collapsed="false">
      <c r="B56" s="1" t="n">
        <v>1</v>
      </c>
      <c r="C56" s="1" t="s">
        <v>175</v>
      </c>
      <c r="D56" s="1" t="s">
        <v>229</v>
      </c>
      <c r="F56" s="12"/>
      <c r="G56" s="29"/>
      <c r="H56" s="29"/>
      <c r="I56" s="29"/>
      <c r="J56" s="29"/>
      <c r="K56" s="12"/>
      <c r="L56" s="12"/>
      <c r="M56" s="12"/>
    </row>
    <row r="57" customFormat="false" ht="12.8" hidden="false" customHeight="false" outlineLevel="0" collapsed="false">
      <c r="B57" s="1" t="n">
        <v>1</v>
      </c>
      <c r="C57" s="1" t="s">
        <v>176</v>
      </c>
      <c r="D57" s="1" t="s">
        <v>230</v>
      </c>
      <c r="F57" s="12"/>
      <c r="G57" s="29"/>
      <c r="H57" s="29"/>
      <c r="I57" s="29"/>
      <c r="J57" s="29"/>
      <c r="K57" s="12"/>
      <c r="L57" s="9"/>
      <c r="M57" s="33"/>
    </row>
    <row r="58" customFormat="false" ht="13.25" hidden="false" customHeight="false" outlineLevel="0" collapsed="false">
      <c r="B58" s="1" t="n">
        <v>0</v>
      </c>
      <c r="C58" s="31" t="s">
        <v>400</v>
      </c>
      <c r="F58" s="12"/>
      <c r="G58" s="29"/>
      <c r="H58" s="29"/>
      <c r="I58" s="29"/>
      <c r="J58" s="29"/>
      <c r="K58" s="12"/>
      <c r="L58" s="12"/>
      <c r="M58" s="12"/>
    </row>
    <row r="59" customFormat="false" ht="12.8" hidden="false" customHeight="false" outlineLevel="0" collapsed="false">
      <c r="B59" s="1" t="n">
        <v>1</v>
      </c>
      <c r="C59" s="1" t="s">
        <v>177</v>
      </c>
      <c r="D59" s="1" t="s">
        <v>231</v>
      </c>
      <c r="F59" s="12"/>
      <c r="G59" s="29"/>
      <c r="H59" s="29"/>
      <c r="I59" s="29"/>
      <c r="J59" s="29"/>
      <c r="K59" s="12"/>
      <c r="L59" s="12"/>
      <c r="M59" s="17"/>
    </row>
    <row r="60" customFormat="false" ht="13.25" hidden="false" customHeight="false" outlineLevel="0" collapsed="false">
      <c r="B60" s="1" t="n">
        <v>0</v>
      </c>
      <c r="C60" s="31" t="s">
        <v>401</v>
      </c>
      <c r="F60" s="12"/>
      <c r="G60" s="29"/>
      <c r="H60" s="29"/>
      <c r="I60" s="29"/>
      <c r="J60" s="29"/>
      <c r="K60" s="12"/>
      <c r="L60" s="12"/>
      <c r="M60" s="12"/>
    </row>
    <row r="61" customFormat="false" ht="12.8" hidden="false" customHeight="false" outlineLevel="0" collapsed="false">
      <c r="B61" s="1" t="n">
        <v>1</v>
      </c>
      <c r="C61" s="1" t="s">
        <v>209</v>
      </c>
      <c r="D61" s="1" t="s">
        <v>262</v>
      </c>
      <c r="F61" s="12"/>
      <c r="G61" s="29"/>
      <c r="H61" s="29"/>
      <c r="I61" s="29"/>
      <c r="J61" s="29"/>
      <c r="K61" s="12"/>
      <c r="L61" s="12"/>
      <c r="M61" s="17"/>
    </row>
    <row r="62" customFormat="false" ht="12.8" hidden="false" customHeight="false" outlineLevel="0" collapsed="false">
      <c r="B62" s="1" t="n">
        <v>0</v>
      </c>
      <c r="C62" s="17" t="s">
        <v>402</v>
      </c>
      <c r="F62" s="12"/>
      <c r="G62" s="29"/>
      <c r="H62" s="29"/>
      <c r="I62" s="29"/>
      <c r="J62" s="29"/>
      <c r="K62" s="12"/>
      <c r="L62" s="12"/>
      <c r="M62" s="34"/>
    </row>
    <row r="63" customFormat="false" ht="12.8" hidden="false" customHeight="false" outlineLevel="0" collapsed="false">
      <c r="B63" s="1" t="n">
        <v>0</v>
      </c>
      <c r="C63" s="17" t="s">
        <v>403</v>
      </c>
      <c r="F63" s="12"/>
      <c r="G63" s="29"/>
      <c r="H63" s="29"/>
      <c r="I63" s="29"/>
      <c r="J63" s="29"/>
      <c r="K63" s="12"/>
      <c r="L63" s="12"/>
      <c r="M63" s="17"/>
    </row>
    <row r="64" customFormat="false" ht="12.8" hidden="false" customHeight="false" outlineLevel="0" collapsed="false">
      <c r="B64" s="1" t="n">
        <v>0</v>
      </c>
      <c r="C64" s="17" t="s">
        <v>404</v>
      </c>
      <c r="F64" s="12"/>
      <c r="G64" s="29"/>
      <c r="H64" s="29"/>
      <c r="I64" s="29"/>
      <c r="J64" s="29"/>
      <c r="K64" s="12"/>
      <c r="L64" s="9"/>
      <c r="M64" s="12"/>
    </row>
    <row r="65" customFormat="false" ht="12.8" hidden="false" customHeight="false" outlineLevel="0" collapsed="false">
      <c r="B65" s="1" t="n">
        <v>0</v>
      </c>
      <c r="C65" s="17" t="s">
        <v>405</v>
      </c>
      <c r="F65" s="12"/>
      <c r="G65" s="29"/>
      <c r="H65" s="29"/>
      <c r="I65" s="29"/>
      <c r="J65" s="29"/>
      <c r="K65" s="12"/>
      <c r="L65" s="9"/>
      <c r="M65" s="13"/>
    </row>
    <row r="66" customFormat="false" ht="12.8" hidden="false" customHeight="false" outlineLevel="0" collapsed="false">
      <c r="B66" s="1" t="n">
        <v>1</v>
      </c>
      <c r="C66" s="1" t="s">
        <v>156</v>
      </c>
      <c r="D66" s="1" t="s">
        <v>212</v>
      </c>
      <c r="F66" s="12"/>
      <c r="G66" s="29"/>
      <c r="H66" s="29"/>
      <c r="I66" s="29"/>
      <c r="J66" s="29"/>
      <c r="K66" s="12"/>
      <c r="L66" s="12"/>
      <c r="M66" s="17"/>
    </row>
    <row r="67" customFormat="false" ht="12.8" hidden="false" customHeight="false" outlineLevel="0" collapsed="false">
      <c r="B67" s="1" t="n">
        <v>1</v>
      </c>
      <c r="C67" s="1" t="s">
        <v>157</v>
      </c>
      <c r="D67" s="1" t="s">
        <v>213</v>
      </c>
      <c r="F67" s="12"/>
      <c r="G67" s="29"/>
      <c r="H67" s="29"/>
      <c r="I67" s="29"/>
      <c r="J67" s="29"/>
      <c r="K67" s="12"/>
      <c r="L67" s="12"/>
      <c r="M67" s="17"/>
    </row>
    <row r="68" customFormat="false" ht="12.8" hidden="false" customHeight="false" outlineLevel="0" collapsed="false">
      <c r="B68" s="1" t="n">
        <v>1</v>
      </c>
      <c r="C68" s="1" t="s">
        <v>168</v>
      </c>
      <c r="D68" s="1" t="s">
        <v>222</v>
      </c>
      <c r="F68" s="12"/>
      <c r="G68" s="29"/>
      <c r="H68" s="29"/>
      <c r="I68" s="29"/>
      <c r="J68" s="29"/>
      <c r="K68" s="12"/>
      <c r="L68" s="12"/>
      <c r="M68" s="12"/>
    </row>
    <row r="69" customFormat="false" ht="12.8" hidden="false" customHeight="false" outlineLevel="0" collapsed="false">
      <c r="B69" s="1" t="n">
        <v>1</v>
      </c>
      <c r="C69" s="1" t="s">
        <v>171</v>
      </c>
      <c r="D69" s="1" t="s">
        <v>225</v>
      </c>
      <c r="F69" s="12"/>
      <c r="G69" s="29"/>
      <c r="H69" s="29"/>
      <c r="I69" s="29"/>
      <c r="J69" s="29"/>
      <c r="K69" s="12"/>
      <c r="L69" s="12"/>
      <c r="M69" s="17"/>
    </row>
    <row r="70" customFormat="false" ht="12.8" hidden="false" customHeight="false" outlineLevel="0" collapsed="false">
      <c r="B70" s="1" t="n">
        <v>1</v>
      </c>
      <c r="C70" s="1" t="s">
        <v>172</v>
      </c>
      <c r="D70" s="1" t="s">
        <v>226</v>
      </c>
      <c r="F70" s="12"/>
      <c r="G70" s="29"/>
      <c r="H70" s="29"/>
      <c r="I70" s="29"/>
      <c r="J70" s="29"/>
      <c r="K70" s="12"/>
      <c r="L70" s="12"/>
      <c r="M70" s="17"/>
    </row>
    <row r="71" customFormat="false" ht="12.8" hidden="false" customHeight="false" outlineLevel="0" collapsed="false">
      <c r="B71" s="1" t="n">
        <v>1</v>
      </c>
      <c r="C71" s="1" t="s">
        <v>173</v>
      </c>
      <c r="D71" s="1" t="s">
        <v>227</v>
      </c>
      <c r="F71" s="12"/>
      <c r="G71" s="29"/>
      <c r="H71" s="29"/>
      <c r="I71" s="29"/>
      <c r="J71" s="29"/>
      <c r="K71" s="12"/>
      <c r="L71" s="12"/>
      <c r="M71" s="17"/>
    </row>
    <row r="72" customFormat="false" ht="12.8" hidden="false" customHeight="false" outlineLevel="0" collapsed="false">
      <c r="B72" s="1" t="n">
        <v>1</v>
      </c>
      <c r="C72" s="1" t="s">
        <v>182</v>
      </c>
      <c r="D72" s="1" t="s">
        <v>236</v>
      </c>
      <c r="F72" s="12"/>
      <c r="G72" s="29"/>
      <c r="H72" s="29"/>
      <c r="I72" s="29"/>
      <c r="J72" s="29"/>
      <c r="K72" s="12"/>
      <c r="L72" s="12"/>
      <c r="M72" s="17"/>
    </row>
    <row r="73" customFormat="false" ht="12.8" hidden="false" customHeight="false" outlineLevel="0" collapsed="false">
      <c r="B73" s="1" t="n">
        <v>1</v>
      </c>
      <c r="C73" s="1" t="s">
        <v>195</v>
      </c>
      <c r="D73" s="1" t="s">
        <v>249</v>
      </c>
      <c r="F73" s="12"/>
      <c r="G73" s="29"/>
      <c r="H73" s="29"/>
      <c r="I73" s="29"/>
      <c r="J73" s="29"/>
      <c r="K73" s="12"/>
      <c r="L73" s="12"/>
      <c r="M73" s="17"/>
    </row>
    <row r="74" customFormat="false" ht="12.8" hidden="false" customHeight="false" outlineLevel="0" collapsed="false">
      <c r="B74" s="1" t="n">
        <v>1</v>
      </c>
      <c r="C74" s="1" t="s">
        <v>196</v>
      </c>
      <c r="D74" s="1" t="s">
        <v>250</v>
      </c>
      <c r="F74" s="12"/>
      <c r="G74" s="29"/>
      <c r="H74" s="29"/>
      <c r="I74" s="29"/>
      <c r="J74" s="29"/>
      <c r="K74" s="12"/>
      <c r="L74" s="12"/>
      <c r="M74" s="17"/>
    </row>
    <row r="75" customFormat="false" ht="12.8" hidden="false" customHeight="false" outlineLevel="0" collapsed="false">
      <c r="B75" s="1" t="n">
        <v>1</v>
      </c>
      <c r="C75" s="1" t="s">
        <v>202</v>
      </c>
      <c r="D75" s="1" t="s">
        <v>255</v>
      </c>
      <c r="F75" s="12"/>
      <c r="G75" s="29"/>
      <c r="H75" s="29"/>
      <c r="I75" s="29"/>
      <c r="J75" s="29"/>
      <c r="K75" s="12"/>
      <c r="L75" s="12"/>
      <c r="M75" s="12"/>
    </row>
    <row r="76" customFormat="false" ht="12.8" hidden="false" customHeight="false" outlineLevel="0" collapsed="false">
      <c r="B76" s="1" t="n">
        <v>1</v>
      </c>
      <c r="C76" s="1" t="s">
        <v>203</v>
      </c>
      <c r="D76" s="1" t="s">
        <v>256</v>
      </c>
      <c r="F76" s="12"/>
      <c r="G76" s="29"/>
      <c r="H76" s="29"/>
      <c r="I76" s="29"/>
      <c r="J76" s="29"/>
      <c r="K76" s="12"/>
      <c r="L76" s="12"/>
      <c r="M76" s="12"/>
    </row>
    <row r="77" customFormat="false" ht="12.8" hidden="false" customHeight="false" outlineLevel="0" collapsed="false">
      <c r="B77" s="1" t="n">
        <v>0</v>
      </c>
      <c r="C77" s="4" t="s">
        <v>406</v>
      </c>
      <c r="F77" s="12"/>
      <c r="G77" s="29"/>
      <c r="H77" s="29"/>
      <c r="I77" s="29"/>
      <c r="J77" s="29"/>
      <c r="K77" s="12"/>
      <c r="L77" s="12"/>
      <c r="M77" s="12"/>
    </row>
    <row r="78" customFormat="false" ht="12.8" hidden="false" customHeight="false" outlineLevel="0" collapsed="false">
      <c r="B78" s="1" t="n">
        <v>1</v>
      </c>
      <c r="C78" s="1" t="s">
        <v>166</v>
      </c>
      <c r="D78" s="1" t="s">
        <v>221</v>
      </c>
      <c r="F78" s="12"/>
      <c r="G78" s="29"/>
      <c r="H78" s="29"/>
      <c r="I78" s="29"/>
      <c r="J78" s="29"/>
      <c r="K78" s="12"/>
      <c r="L78" s="9"/>
      <c r="M78" s="12"/>
    </row>
    <row r="79" customFormat="false" ht="12.8" hidden="false" customHeight="false" outlineLevel="0" collapsed="false">
      <c r="B79" s="1" t="n">
        <v>0</v>
      </c>
      <c r="C79" s="4" t="s">
        <v>407</v>
      </c>
      <c r="F79" s="12"/>
      <c r="G79" s="29"/>
      <c r="H79" s="29"/>
      <c r="I79" s="29"/>
      <c r="J79" s="29"/>
      <c r="K79" s="12"/>
      <c r="L79" s="12"/>
      <c r="M79" s="13"/>
    </row>
    <row r="80" customFormat="false" ht="12.8" hidden="false" customHeight="false" outlineLevel="0" collapsed="false">
      <c r="B80" s="1" t="n">
        <v>1</v>
      </c>
      <c r="C80" s="1" t="s">
        <v>169</v>
      </c>
      <c r="D80" s="1" t="s">
        <v>223</v>
      </c>
      <c r="F80" s="12"/>
      <c r="G80" s="29"/>
      <c r="H80" s="29"/>
      <c r="I80" s="29"/>
      <c r="J80" s="29"/>
      <c r="K80" s="12"/>
      <c r="L80" s="12"/>
      <c r="M80" s="17"/>
    </row>
    <row r="81" customFormat="false" ht="12.8" hidden="false" customHeight="false" outlineLevel="0" collapsed="false">
      <c r="B81" s="1" t="n">
        <v>0</v>
      </c>
      <c r="C81" s="4" t="s">
        <v>408</v>
      </c>
      <c r="F81" s="12"/>
      <c r="G81" s="29"/>
      <c r="H81" s="29"/>
      <c r="I81" s="29"/>
      <c r="J81" s="29"/>
      <c r="K81" s="12"/>
      <c r="L81" s="12"/>
      <c r="M81" s="12"/>
    </row>
    <row r="82" customFormat="false" ht="12.8" hidden="false" customHeight="false" outlineLevel="0" collapsed="false">
      <c r="B82" s="1" t="n">
        <v>1</v>
      </c>
      <c r="C82" s="1" t="s">
        <v>198</v>
      </c>
      <c r="D82" s="1" t="s">
        <v>252</v>
      </c>
      <c r="F82" s="12"/>
      <c r="G82" s="29"/>
      <c r="H82" s="29"/>
      <c r="I82" s="29"/>
      <c r="J82" s="29"/>
      <c r="K82" s="12"/>
      <c r="L82" s="12"/>
      <c r="M82" s="12"/>
    </row>
    <row r="83" customFormat="false" ht="12.8" hidden="false" customHeight="false" outlineLevel="0" collapsed="false">
      <c r="B83" s="1" t="n">
        <v>0</v>
      </c>
      <c r="C83" s="17" t="s">
        <v>409</v>
      </c>
      <c r="F83" s="12"/>
      <c r="G83" s="29"/>
      <c r="H83" s="29"/>
      <c r="I83" s="29"/>
      <c r="J83" s="29"/>
      <c r="K83" s="12"/>
      <c r="L83" s="12"/>
      <c r="M83" s="12"/>
    </row>
    <row r="84" customFormat="false" ht="12.8" hidden="false" customHeight="false" outlineLevel="0" collapsed="false">
      <c r="B84" s="1" t="n">
        <v>1</v>
      </c>
      <c r="C84" s="12" t="s">
        <v>200</v>
      </c>
      <c r="D84" s="1" t="s">
        <v>200</v>
      </c>
      <c r="F84" s="12"/>
      <c r="G84" s="29"/>
      <c r="H84" s="29"/>
      <c r="I84" s="29"/>
      <c r="J84" s="29"/>
      <c r="K84" s="12"/>
      <c r="L84" s="12"/>
      <c r="M84" s="17"/>
    </row>
    <row r="85" customFormat="false" ht="12.8" hidden="false" customHeight="false" outlineLevel="0" collapsed="false">
      <c r="B85" s="1" t="n">
        <v>1</v>
      </c>
      <c r="C85" s="12" t="s">
        <v>167</v>
      </c>
      <c r="D85" s="1" t="s">
        <v>167</v>
      </c>
      <c r="F85" s="12"/>
      <c r="G85" s="29"/>
      <c r="H85" s="29"/>
      <c r="I85" s="29"/>
      <c r="J85" s="29"/>
      <c r="K85" s="12"/>
      <c r="L85" s="12"/>
      <c r="M85" s="12"/>
    </row>
    <row r="86" customFormat="false" ht="12.8" hidden="false" customHeight="false" outlineLevel="0" collapsed="false">
      <c r="B86" s="1" t="n">
        <v>0</v>
      </c>
      <c r="C86" s="17" t="s">
        <v>410</v>
      </c>
      <c r="F86" s="12"/>
      <c r="G86" s="29"/>
      <c r="H86" s="29"/>
      <c r="I86" s="29"/>
      <c r="J86" s="29"/>
      <c r="K86" s="12"/>
      <c r="L86" s="12"/>
      <c r="M86" s="12"/>
    </row>
    <row r="87" customFormat="false" ht="12.8" hidden="false" customHeight="false" outlineLevel="0" collapsed="false">
      <c r="B87" s="1" t="n">
        <v>0</v>
      </c>
      <c r="C87" s="17" t="s">
        <v>411</v>
      </c>
      <c r="F87" s="12"/>
      <c r="G87" s="29"/>
      <c r="H87" s="29"/>
      <c r="I87" s="29"/>
      <c r="J87" s="29"/>
      <c r="K87" s="12"/>
      <c r="L87" s="12"/>
      <c r="M87" s="17"/>
    </row>
    <row r="88" customFormat="false" ht="12.8" hidden="false" customHeight="false" outlineLevel="0" collapsed="false">
      <c r="B88" s="1" t="n">
        <v>1</v>
      </c>
      <c r="C88" s="12" t="s">
        <v>199</v>
      </c>
      <c r="D88" s="13" t="s">
        <v>253</v>
      </c>
      <c r="F88" s="12"/>
      <c r="G88" s="29"/>
      <c r="H88" s="29"/>
      <c r="I88" s="29"/>
      <c r="J88" s="29"/>
      <c r="K88" s="12"/>
      <c r="L88" s="12"/>
      <c r="M88" s="12"/>
    </row>
    <row r="89" customFormat="false" ht="12.8" hidden="false" customHeight="false" outlineLevel="0" collapsed="false">
      <c r="B89" s="1" t="n">
        <v>0</v>
      </c>
      <c r="C89" s="17" t="s">
        <v>412</v>
      </c>
      <c r="F89" s="12"/>
      <c r="G89" s="29"/>
      <c r="H89" s="29"/>
      <c r="I89" s="29"/>
      <c r="J89" s="29"/>
      <c r="K89" s="12"/>
      <c r="L89" s="12"/>
      <c r="M89" s="17"/>
    </row>
    <row r="90" customFormat="false" ht="12.8" hidden="false" customHeight="false" outlineLevel="0" collapsed="false">
      <c r="B90" s="1" t="n">
        <v>0</v>
      </c>
      <c r="C90" s="17" t="s">
        <v>413</v>
      </c>
      <c r="F90" s="12"/>
      <c r="G90" s="29"/>
      <c r="H90" s="29"/>
      <c r="I90" s="29"/>
      <c r="J90" s="29"/>
      <c r="K90" s="12"/>
      <c r="L90" s="12"/>
      <c r="M90" s="12"/>
    </row>
    <row r="91" customFormat="false" ht="12.8" hidden="false" customHeight="false" outlineLevel="0" collapsed="false">
      <c r="B91" s="1" t="n">
        <v>1</v>
      </c>
      <c r="C91" s="12" t="s">
        <v>201</v>
      </c>
      <c r="D91" s="12" t="s">
        <v>254</v>
      </c>
      <c r="F91" s="12"/>
      <c r="G91" s="29"/>
      <c r="H91" s="29"/>
      <c r="I91" s="29"/>
      <c r="J91" s="29"/>
      <c r="K91" s="12"/>
      <c r="L91" s="12"/>
      <c r="M91" s="17"/>
    </row>
    <row r="92" customFormat="false" ht="12.8" hidden="false" customHeight="false" outlineLevel="0" collapsed="false">
      <c r="B92" s="1" t="n">
        <v>0</v>
      </c>
      <c r="C92" s="17" t="s">
        <v>414</v>
      </c>
      <c r="F92" s="12"/>
      <c r="G92" s="29"/>
      <c r="H92" s="29"/>
      <c r="I92" s="29"/>
      <c r="J92" s="29"/>
      <c r="K92" s="12"/>
      <c r="L92" s="12"/>
      <c r="M92" s="12"/>
    </row>
    <row r="93" customFormat="false" ht="12.8" hidden="false" customHeight="false" outlineLevel="0" collapsed="false">
      <c r="F93" s="12"/>
      <c r="G93" s="29"/>
      <c r="H93" s="29"/>
      <c r="I93" s="29"/>
      <c r="J93" s="29"/>
      <c r="K93" s="12"/>
      <c r="L93" s="12"/>
      <c r="M93" s="12"/>
    </row>
    <row r="94" customFormat="false" ht="12.8" hidden="false" customHeight="false" outlineLevel="0" collapsed="false">
      <c r="F94" s="12"/>
      <c r="G94" s="29"/>
      <c r="H94" s="29"/>
      <c r="I94" s="29"/>
      <c r="J94" s="29"/>
      <c r="K94" s="12"/>
      <c r="L94" s="12"/>
      <c r="M94" s="17"/>
    </row>
    <row r="95" customFormat="false" ht="12.8" hidden="false" customHeight="false" outlineLevel="0" collapsed="false">
      <c r="F95" s="12"/>
      <c r="G95" s="29"/>
      <c r="H95" s="29"/>
      <c r="I95" s="29"/>
      <c r="J95" s="29"/>
      <c r="K95" s="12"/>
      <c r="L95" s="12"/>
      <c r="M95" s="17"/>
    </row>
    <row r="96" customFormat="false" ht="12.8" hidden="false" customHeight="false" outlineLevel="0" collapsed="false">
      <c r="F96" s="12"/>
      <c r="G96" s="29"/>
      <c r="H96" s="29"/>
      <c r="I96" s="29"/>
      <c r="J96" s="29"/>
      <c r="K96" s="12"/>
      <c r="L96" s="9"/>
      <c r="M96" s="13"/>
    </row>
    <row r="97" customFormat="false" ht="12.8" hidden="false" customHeight="false" outlineLevel="0" collapsed="false">
      <c r="F97" s="12"/>
      <c r="G97" s="29"/>
      <c r="H97" s="29"/>
      <c r="I97" s="29"/>
      <c r="J97" s="29"/>
      <c r="K97" s="12"/>
      <c r="L97" s="9"/>
      <c r="M97" s="13"/>
    </row>
    <row r="98" customFormat="false" ht="12.8" hidden="false" customHeight="false" outlineLevel="0" collapsed="false">
      <c r="G98" s="29"/>
      <c r="H98" s="29"/>
      <c r="I98" s="29"/>
      <c r="J98" s="29"/>
      <c r="K98" s="12"/>
      <c r="L98" s="12"/>
      <c r="M98" s="12"/>
    </row>
    <row r="99" customFormat="false" ht="12.8" hidden="false" customHeight="false" outlineLevel="0" collapsed="false">
      <c r="F99" s="12"/>
      <c r="G99" s="29"/>
      <c r="H99" s="29"/>
      <c r="I99" s="29"/>
      <c r="J99" s="29"/>
      <c r="K99" s="12"/>
      <c r="L99" s="12"/>
      <c r="M99" s="17"/>
    </row>
    <row r="106" customFormat="false" ht="12.8" hidden="false" customHeight="false" outlineLevel="0" collapsed="false">
      <c r="F106" s="13"/>
    </row>
    <row r="108" customFormat="false" ht="12.8" hidden="false" customHeight="false" outlineLevel="0" collapsed="false">
      <c r="F108" s="12"/>
    </row>
    <row r="112" customFormat="false" ht="12.8" hidden="false" customHeight="false" outlineLevel="0" collapsed="false">
      <c r="D112" s="13"/>
    </row>
    <row r="136" customFormat="false" ht="12.8" hidden="false" customHeight="false" outlineLevel="0" collapsed="false">
      <c r="F136" s="13"/>
    </row>
    <row r="137" customFormat="false" ht="12.8" hidden="false" customHeight="false" outlineLevel="0" collapsed="false">
      <c r="F137" s="12"/>
    </row>
    <row r="138" customFormat="false" ht="12.8" hidden="false" customHeight="false" outlineLevel="0" collapsed="false">
      <c r="F138" s="12"/>
    </row>
    <row r="141" customFormat="false" ht="12.8" hidden="false" customHeight="false" outlineLevel="0" collapsed="false">
      <c r="F141" s="15"/>
    </row>
  </sheetData>
  <hyperlinks>
    <hyperlink ref="F2" r:id="rId1" display="https://www.gbif.org/"/>
    <hyperlink ref="F3" r:id="rId2" display="https://www.nies.go.jp/chiiki1/protoz/index.html"/>
    <hyperlink ref="F4" r:id="rId3" display="https://www.nies.go.jp/chiiki1/protoz/identi-r.htm"/>
    <hyperlink ref="F5" r:id="rId4" display="https://www.marinespecies.org/index.php"/>
    <hyperlink ref="F6" r:id="rId5" display="https://cladocera.wordpress.com/"/>
    <hyperlink ref="F7" r:id="rId6" display="https://rotifera.aphia.org/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2025-12-09T18:03:06Z</dcterms:created>
  <dc:creator/>
  <dc:description/>
  <dc:language>pt-BR</dc:language>
  <cp:lastModifiedBy/>
  <dcterms:modified xsi:type="dcterms:W3CDTF">2026-09-18T08:36:03Z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